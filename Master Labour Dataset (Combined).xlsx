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13_ncr:1_{CA9F00C4-4CDE-4B40-B1B8-DB436D8F137D}" xr6:coauthVersionLast="47" xr6:coauthVersionMax="47" xr10:uidLastSave="{00000000-0000-0000-0000-000000000000}"/>
  <bookViews>
    <workbookView xWindow="-120" yWindow="-120" windowWidth="20730" windowHeight="11040" firstSheet="5" activeTab="7" xr2:uid="{03A37112-31B2-402B-AE5D-06F9CD98DD08}"/>
  </bookViews>
  <sheets>
    <sheet name="Youth Unemployment Rate (World " sheetId="2" r:id="rId1"/>
    <sheet name="Overall (Adult) Unemployment Ra" sheetId="3" r:id="rId2"/>
    <sheet name="Labour Force Participation Rate" sheetId="4" r:id="rId3"/>
    <sheet name="Male LFPR (ILO,WB)" sheetId="5" r:id="rId4"/>
    <sheet name="Female LFPR (ILO,WB)" sheetId="6" r:id="rId5"/>
    <sheet name="Employment by Sector (ILO,WB)" sheetId="7" r:id="rId6"/>
    <sheet name="GDP Per Capita Growth" sheetId="11" r:id="rId7"/>
    <sheet name="Master Labour Data" sheetId="9" r:id="rId8"/>
  </sheets>
  <definedNames>
    <definedName name="ExternalData_1" localSheetId="5" hidden="1">'Employment by Sector (ILO,WB)'!$A$1:$F$36</definedName>
    <definedName name="ExternalData_1" localSheetId="4" hidden="1">'Female LFPR (ILO,WB)'!$A$1:$D$37</definedName>
    <definedName name="ExternalData_1" localSheetId="6" hidden="1">'GDP Per Capita Growth'!$A$1:$D$36</definedName>
    <definedName name="ExternalData_1" localSheetId="2" hidden="1">'Labour Force Participation Rate'!$A$1:$D$37</definedName>
    <definedName name="ExternalData_1" localSheetId="3" hidden="1">'Male LFPR (ILO,WB)'!$A$1:$D$37</definedName>
    <definedName name="ExternalData_1" localSheetId="1" hidden="1">'Overall (Adult) Unemployment Ra'!$A$1:$D$36</definedName>
    <definedName name="ExternalData_1" localSheetId="0" hidden="1">'Youth Unemployment Rate (World '!$A$1:$D$36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9" l="1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4" i="9"/>
  <c r="G33" i="9" a="1"/>
  <c r="G33" i="9" s="1"/>
  <c r="G34" i="9" a="1"/>
  <c r="G34" i="9" s="1"/>
  <c r="G35" i="9" a="1"/>
  <c r="G35" i="9" s="1"/>
  <c r="G36" i="9" a="1"/>
  <c r="G36" i="9" s="1"/>
  <c r="G37" i="9" a="1"/>
  <c r="G37" i="9" s="1"/>
  <c r="G38" i="9" a="1"/>
  <c r="G38" i="9" s="1"/>
  <c r="G25" i="9" a="1"/>
  <c r="G25" i="9" s="1"/>
  <c r="G26" i="9" a="1"/>
  <c r="G26" i="9" s="1"/>
  <c r="G27" i="9" a="1"/>
  <c r="G27" i="9" s="1"/>
  <c r="G28" i="9" a="1"/>
  <c r="G28" i="9" s="1"/>
  <c r="G29" i="9" a="1"/>
  <c r="G29" i="9" s="1"/>
  <c r="G30" i="9" a="1"/>
  <c r="G30" i="9" s="1"/>
  <c r="G31" i="9" a="1"/>
  <c r="G31" i="9" s="1"/>
  <c r="G32" i="9" a="1"/>
  <c r="G32" i="9" s="1"/>
  <c r="G11" i="9" a="1"/>
  <c r="G11" i="9" s="1"/>
  <c r="G12" i="9" a="1"/>
  <c r="G12" i="9" s="1"/>
  <c r="G13" i="9" a="1"/>
  <c r="G13" i="9" s="1"/>
  <c r="G14" i="9" a="1"/>
  <c r="G14" i="9" s="1"/>
  <c r="G15" i="9" a="1"/>
  <c r="G15" i="9" s="1"/>
  <c r="G16" i="9" a="1"/>
  <c r="G16" i="9" s="1"/>
  <c r="G17" i="9" a="1"/>
  <c r="G17" i="9" s="1"/>
  <c r="G18" i="9" a="1"/>
  <c r="G18" i="9" s="1"/>
  <c r="G19" i="9" a="1"/>
  <c r="G19" i="9" s="1"/>
  <c r="G20" i="9" a="1"/>
  <c r="G20" i="9" s="1"/>
  <c r="G21" i="9" a="1"/>
  <c r="G21" i="9" s="1"/>
  <c r="G22" i="9" a="1"/>
  <c r="G22" i="9" s="1"/>
  <c r="G23" i="9" a="1"/>
  <c r="G23" i="9" s="1"/>
  <c r="G24" i="9" a="1"/>
  <c r="G24" i="9" s="1"/>
  <c r="G5" i="9" a="1"/>
  <c r="G5" i="9" s="1"/>
  <c r="G6" i="9" a="1"/>
  <c r="G6" i="9" s="1"/>
  <c r="G7" i="9" a="1"/>
  <c r="G7" i="9" s="1"/>
  <c r="G8" i="9" a="1"/>
  <c r="G8" i="9" s="1"/>
  <c r="G9" i="9" a="1"/>
  <c r="G9" i="9" s="1"/>
  <c r="G10" i="9" a="1"/>
  <c r="G10" i="9" s="1"/>
  <c r="G4" i="9" a="1"/>
  <c r="G4" i="9" s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4" i="9"/>
  <c r="E4" i="9"/>
  <c r="E5" i="9"/>
  <c r="E6" i="9"/>
  <c r="E7" i="9"/>
  <c r="E8" i="9"/>
  <c r="E9" i="9"/>
  <c r="E10" i="9"/>
  <c r="E11" i="9"/>
  <c r="L11" i="9" s="1"/>
  <c r="E12" i="9"/>
  <c r="E13" i="9"/>
  <c r="E14" i="9"/>
  <c r="E15" i="9"/>
  <c r="L15" i="9" s="1"/>
  <c r="E16" i="9"/>
  <c r="E17" i="9"/>
  <c r="E18" i="9"/>
  <c r="E19" i="9"/>
  <c r="L19" i="9" s="1"/>
  <c r="E20" i="9"/>
  <c r="E21" i="9"/>
  <c r="E22" i="9"/>
  <c r="E23" i="9"/>
  <c r="L23" i="9" s="1"/>
  <c r="E24" i="9"/>
  <c r="E25" i="9"/>
  <c r="E26" i="9"/>
  <c r="E27" i="9"/>
  <c r="L27" i="9" s="1"/>
  <c r="E28" i="9"/>
  <c r="E29" i="9"/>
  <c r="E30" i="9"/>
  <c r="E31" i="9"/>
  <c r="L31" i="9" s="1"/>
  <c r="E32" i="9"/>
  <c r="E33" i="9"/>
  <c r="E34" i="9"/>
  <c r="E35" i="9"/>
  <c r="L35" i="9" s="1"/>
  <c r="E36" i="9"/>
  <c r="E37" i="9"/>
  <c r="E38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4" i="9"/>
  <c r="B5" i="9"/>
  <c r="B6" i="9"/>
  <c r="B7" i="9"/>
  <c r="B8" i="9"/>
  <c r="B9" i="9"/>
  <c r="B10" i="9"/>
  <c r="B11" i="9"/>
  <c r="B12" i="9"/>
  <c r="K12" i="9" s="1"/>
  <c r="B13" i="9"/>
  <c r="B14" i="9"/>
  <c r="B15" i="9"/>
  <c r="B16" i="9"/>
  <c r="K16" i="9" s="1"/>
  <c r="B17" i="9"/>
  <c r="B18" i="9"/>
  <c r="B19" i="9"/>
  <c r="B20" i="9"/>
  <c r="K20" i="9" s="1"/>
  <c r="B21" i="9"/>
  <c r="B22" i="9"/>
  <c r="B23" i="9"/>
  <c r="B24" i="9"/>
  <c r="K24" i="9" s="1"/>
  <c r="B25" i="9"/>
  <c r="B26" i="9"/>
  <c r="B27" i="9"/>
  <c r="B28" i="9"/>
  <c r="K28" i="9" s="1"/>
  <c r="B29" i="9"/>
  <c r="B30" i="9"/>
  <c r="B31" i="9"/>
  <c r="B32" i="9"/>
  <c r="K32" i="9" s="1"/>
  <c r="B33" i="9"/>
  <c r="B34" i="9"/>
  <c r="B35" i="9"/>
  <c r="B36" i="9"/>
  <c r="K36" i="9" s="1"/>
  <c r="B37" i="9"/>
  <c r="B38" i="9"/>
  <c r="B4" i="9"/>
  <c r="L38" i="9" l="1"/>
  <c r="L34" i="9"/>
  <c r="L30" i="9"/>
  <c r="L26" i="9"/>
  <c r="L22" i="9"/>
  <c r="L18" i="9"/>
  <c r="L14" i="9"/>
  <c r="L10" i="9"/>
  <c r="L6" i="9"/>
  <c r="L37" i="9"/>
  <c r="L33" i="9"/>
  <c r="L29" i="9"/>
  <c r="L25" i="9"/>
  <c r="L21" i="9"/>
  <c r="L17" i="9"/>
  <c r="L13" i="9"/>
  <c r="L9" i="9"/>
  <c r="L5" i="9"/>
  <c r="K8" i="9"/>
  <c r="M8" i="9" s="1"/>
  <c r="L36" i="9"/>
  <c r="L32" i="9"/>
  <c r="L28" i="9"/>
  <c r="L24" i="9"/>
  <c r="L20" i="9"/>
  <c r="L16" i="9"/>
  <c r="L12" i="9"/>
  <c r="L8" i="9"/>
  <c r="L4" i="9"/>
  <c r="L7" i="9"/>
  <c r="N33" i="9"/>
  <c r="N17" i="9"/>
  <c r="N13" i="9"/>
  <c r="M35" i="9"/>
  <c r="K4" i="9"/>
  <c r="M4" i="9" s="1"/>
  <c r="K35" i="9"/>
  <c r="N35" i="9" s="1"/>
  <c r="K31" i="9"/>
  <c r="M31" i="9" s="1"/>
  <c r="K27" i="9"/>
  <c r="M27" i="9" s="1"/>
  <c r="K23" i="9"/>
  <c r="M23" i="9" s="1"/>
  <c r="K19" i="9"/>
  <c r="M19" i="9" s="1"/>
  <c r="K15" i="9"/>
  <c r="M15" i="9" s="1"/>
  <c r="K11" i="9"/>
  <c r="M11" i="9" s="1"/>
  <c r="K7" i="9"/>
  <c r="M7" i="9" s="1"/>
  <c r="M33" i="9"/>
  <c r="M29" i="9"/>
  <c r="M17" i="9"/>
  <c r="M13" i="9"/>
  <c r="M9" i="9"/>
  <c r="N36" i="9"/>
  <c r="N32" i="9"/>
  <c r="N28" i="9"/>
  <c r="N24" i="9"/>
  <c r="N20" i="9"/>
  <c r="N16" i="9"/>
  <c r="N12" i="9"/>
  <c r="N8" i="9"/>
  <c r="K38" i="9"/>
  <c r="M38" i="9" s="1"/>
  <c r="K34" i="9"/>
  <c r="M34" i="9" s="1"/>
  <c r="K30" i="9"/>
  <c r="M30" i="9" s="1"/>
  <c r="K26" i="9"/>
  <c r="N26" i="9" s="1"/>
  <c r="K22" i="9"/>
  <c r="M22" i="9" s="1"/>
  <c r="K18" i="9"/>
  <c r="M18" i="9" s="1"/>
  <c r="K14" i="9"/>
  <c r="M14" i="9" s="1"/>
  <c r="K10" i="9"/>
  <c r="N10" i="9" s="1"/>
  <c r="K6" i="9"/>
  <c r="M6" i="9" s="1"/>
  <c r="M36" i="9"/>
  <c r="M32" i="9"/>
  <c r="M28" i="9"/>
  <c r="M24" i="9"/>
  <c r="M20" i="9"/>
  <c r="M16" i="9"/>
  <c r="M12" i="9"/>
  <c r="N19" i="9"/>
  <c r="K37" i="9"/>
  <c r="M37" i="9" s="1"/>
  <c r="K33" i="9"/>
  <c r="K29" i="9"/>
  <c r="N29" i="9" s="1"/>
  <c r="K25" i="9"/>
  <c r="N25" i="9" s="1"/>
  <c r="K21" i="9"/>
  <c r="M21" i="9" s="1"/>
  <c r="K17" i="9"/>
  <c r="K13" i="9"/>
  <c r="K9" i="9"/>
  <c r="N9" i="9" s="1"/>
  <c r="K5" i="9"/>
  <c r="M5" i="9" s="1"/>
  <c r="M10" i="9" l="1"/>
  <c r="M26" i="9"/>
  <c r="M25" i="9"/>
  <c r="N14" i="9"/>
  <c r="N30" i="9"/>
  <c r="N7" i="9"/>
  <c r="N23" i="9"/>
  <c r="N4" i="9"/>
  <c r="N18" i="9"/>
  <c r="N34" i="9"/>
  <c r="N11" i="9"/>
  <c r="N27" i="9"/>
  <c r="N5" i="9"/>
  <c r="N21" i="9"/>
  <c r="N37" i="9"/>
  <c r="N6" i="9"/>
  <c r="N22" i="9"/>
  <c r="N38" i="9"/>
  <c r="N15" i="9"/>
  <c r="N31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3DE911-5D08-441D-8ACC-E98E3083B1FF}" keepAlive="1" name="Query - Employment by Sector (ILO,WB)" description="Connection to the 'Employment by Sector (ILO,WB)' query in the workbook." type="5" refreshedVersion="8" background="1" saveData="1">
    <dbPr connection="Provider=Microsoft.Mashup.OleDb.1;Data Source=$Workbook$;Location=&quot;Employment by Sector (ILO,WB)&quot;;Extended Properties=&quot;&quot;" command="SELECT * FROM [Employment by Sector (ILO,WB)]"/>
  </connection>
  <connection id="2" xr16:uid="{1437604E-A8F6-4E3B-A33F-83CAD821C516}" keepAlive="1" name="Query - Female LFPR (ILO,WB)" description="Connection to the 'Female LFPR (ILO,WB)' query in the workbook." type="5" refreshedVersion="8" background="1" saveData="1">
    <dbPr connection="Provider=Microsoft.Mashup.OleDb.1;Data Source=$Workbook$;Location=&quot;Female LFPR (ILO,WB)&quot;;Extended Properties=&quot;&quot;" command="SELECT * FROM [Female LFPR (ILO,WB)]"/>
  </connection>
  <connection id="3" xr16:uid="{0E6FD75A-F271-4046-99ED-1E13FA18C2F8}" keepAlive="1" name="Query - GDP Per Capita Growth" description="Connection to the 'GDP Per Capita Growth' query in the workbook." type="5" refreshedVersion="8" background="1" saveData="1">
    <dbPr connection="Provider=Microsoft.Mashup.OleDb.1;Data Source=$Workbook$;Location=&quot;GDP Per Capita Growth&quot;;Extended Properties=&quot;&quot;" command="SELECT * FROM [GDP Per Capita Growth]"/>
  </connection>
  <connection id="4" xr16:uid="{2E6FE471-F2E2-4E69-B459-B1B9424D24D6}" keepAlive="1" name="Query - Labour Force Participation Rate (WB)" description="Connection to the 'Labour Force Participation Rate (WB)' query in the workbook." type="5" refreshedVersion="8" background="1" saveData="1">
    <dbPr connection="Provider=Microsoft.Mashup.OleDb.1;Data Source=$Workbook$;Location=&quot;Labour Force Participation Rate (WB)&quot;;Extended Properties=&quot;&quot;" command="SELECT * FROM [Labour Force Participation Rate (WB)]"/>
  </connection>
  <connection id="5" xr16:uid="{0EC8F92A-8E84-4D48-BACA-B2A8078AE8DC}" keepAlive="1" name="Query - Male LFPR (ILO,WB)" description="Connection to the 'Male LFPR (ILO,WB)' query in the workbook." type="5" refreshedVersion="8" background="1" saveData="1">
    <dbPr connection="Provider=Microsoft.Mashup.OleDb.1;Data Source=$Workbook$;Location=&quot;Male LFPR (ILO,WB)&quot;;Extended Properties=&quot;&quot;" command="SELECT * FROM [Male LFPR (ILO,WB)]"/>
  </connection>
  <connection id="6" xr16:uid="{13A759A8-64CC-4173-BA4B-FE244D466EDC}" keepAlive="1" name="Query - Overall (Adult) Unemployment Rate (WB)" description="Connection to the 'Overall (Adult) Unemployment Rate (WB)' query in the workbook." type="5" refreshedVersion="8" background="1" saveData="1">
    <dbPr connection="Provider=Microsoft.Mashup.OleDb.1;Data Source=$Workbook$;Location=&quot;Overall (Adult) Unemployment Rate (WB)&quot;;Extended Properties=&quot;&quot;" command="SELECT * FROM [Overall (Adult) Unemployment Rate (WB)]"/>
  </connection>
  <connection id="7" xr16:uid="{5B754052-1C85-448D-860F-EC9D6B6FAFC4}" keepAlive="1" name="Query - Youth Unemployment Rate (World Bank Data)" description="Connection to the 'Youth Unemployment Rate (World Bank Data)' query in the workbook." type="5" refreshedVersion="8" background="1" saveData="1">
    <dbPr connection="Provider=Microsoft.Mashup.OleDb.1;Data Source=$Workbook$;Location=&quot;Youth Unemployment Rate (World Bank Data)&quot;;Extended Properties=&quot;&quot;" command="SELECT * FROM [Youth Unemployment Rate (World Bank Data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<sst xmlns="http://schemas.openxmlformats.org/spreadsheetml/2006/main" count="540" uniqueCount="25">
  <si>
    <t>Entity</t>
  </si>
  <si>
    <t>Code</t>
  </si>
  <si>
    <t>Year</t>
  </si>
  <si>
    <t>Unemployment rate, ages 15-24</t>
  </si>
  <si>
    <t>India</t>
  </si>
  <si>
    <t>IND</t>
  </si>
  <si>
    <t>Unemployment rate</t>
  </si>
  <si>
    <t>Labor force participation rate</t>
  </si>
  <si>
    <t>Male labor force participation rate</t>
  </si>
  <si>
    <t>Female labor force participation rate</t>
  </si>
  <si>
    <t>Agriculture</t>
  </si>
  <si>
    <t>Industry</t>
  </si>
  <si>
    <t>Services</t>
  </si>
  <si>
    <t>Youth Unemployment</t>
  </si>
  <si>
    <t>Adult Unemployment</t>
  </si>
  <si>
    <t>Female LFPR</t>
  </si>
  <si>
    <t>Male LFPR</t>
  </si>
  <si>
    <t>Total LFPR</t>
  </si>
  <si>
    <t>Service</t>
  </si>
  <si>
    <t>GDP per capita growth (annual %)</t>
  </si>
  <si>
    <t>GDP Per Capita Growth (Annual%)</t>
  </si>
  <si>
    <t>Skill Mismatch Index</t>
  </si>
  <si>
    <t>Gender Gap</t>
  </si>
  <si>
    <t>Youth vulnerability Index</t>
  </si>
  <si>
    <t>Labour Market Stress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</si>
</sst>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0" fillId="0" borderId="0" xfId="0" applyNumberFormat="1"/>
    <xf numFmtId="2" fontId="0" fillId="3" borderId="1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4" borderId="0" xfId="0" applyNumberFormat="1" applyFill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0" fillId="6" borderId="1" xfId="0" applyNumberFormat="1" applyFill="1" applyBorder="1"/>
    <xf numFmtId="2" fontId="0" fillId="6" borderId="1" xfId="0" applyNumberFormat="1" applyFill="1" applyBorder="1" applyAlignment="1">
      <alignment horizontal="center"/>
    </xf>
    <xf numFmtId="2" fontId="1" fillId="5" borderId="2" xfId="0" applyNumberFormat="1" applyFont="1" applyFill="1" applyBorder="1" applyAlignment="1">
      <alignment horizontal="center"/>
    </xf>
    <xf numFmtId="2" fontId="0" fillId="6" borderId="4" xfId="0" applyNumberFormat="1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2" fontId="0" fillId="6" borderId="6" xfId="0" applyNumberFormat="1" applyFill="1" applyBorder="1"/>
    <xf numFmtId="2" fontId="0" fillId="6" borderId="6" xfId="0" applyNumberForma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2" fontId="0" fillId="6" borderId="11" xfId="0" applyNumberFormat="1" applyFill="1" applyBorder="1" applyAlignment="1">
      <alignment horizontal="center"/>
    </xf>
    <xf numFmtId="2" fontId="0" fillId="6" borderId="12" xfId="0" applyNumberFormat="1" applyFill="1" applyBorder="1" applyAlignment="1">
      <alignment horizontal="center"/>
    </xf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C6FD934-0868-4115-BF87-14E5509B9851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Unemployment rate, ages 15-2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FB0B2C1-9F3A-4BE9-9DE1-C7FD621F58BA}" autoFormatId="16" applyNumberFormats="0" applyBorderFormats="0" applyFontFormats="0" applyPatternFormats="0" applyAlignmentFormats="0" applyWidthHeightFormats="0">
  <queryTableRefresh nextId="6">
    <queryTableFields count="4">
      <queryTableField id="1" name="Entity" tableColumnId="1"/>
      <queryTableField id="2" name="Code" tableColumnId="2"/>
      <queryTableField id="3" name="Year" tableColumnId="3"/>
      <queryTableField id="4" name="Unemployment rate" tableColumnId="4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F16D6DD-E61D-48BF-8BDE-DB04062E3028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Labor force participation 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D746272-F32B-4AAD-98F0-3C0E879E538D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Male labor force participation rat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C9D23F-247D-4E89-8AA2-A49C341EDB15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Female labor force participation rat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F9C575-DCA1-4090-ACE9-74B063460AAC}" autoFormatId="16" applyNumberFormats="0" applyBorderFormats="0" applyFontFormats="0" applyPatternFormats="0" applyAlignmentFormats="0" applyWidthHeightFormats="0">
  <queryTableRefresh nextId="7">
    <queryTableFields count="6">
      <queryTableField id="1" name="Entity" tableColumnId="1"/>
      <queryTableField id="2" name="Code" tableColumnId="2"/>
      <queryTableField id="3" name="Year" tableColumnId="3"/>
      <queryTableField id="4" name="Agriculture" tableColumnId="4"/>
      <queryTableField id="5" name="Industry" tableColumnId="5"/>
      <queryTableField id="6" name="Services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B6D3631-02E5-4805-96C8-5B06613CC5E0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GDP per capita growth (annual %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E15975-0B95-4E6F-A845-714B35F426B0}" name="Youth_Unemployment_Rate__World_Bank_Data" displayName="Youth_Unemployment_Rate__World_Bank_Data" ref="A1:D36" tableType="queryTable" totalsRowShown="0" headerRowDxfId="35" dataDxfId="34">
  <autoFilter ref="A1:D36" xr:uid="{76E15975-0B95-4E6F-A845-714B35F426B0}"/>
  <tableColumns count="4">
    <tableColumn id="1" xr3:uid="{76A528D4-77DB-4DF4-8A62-EC0AA6F80E97}" uniqueName="1" name="Entity" queryTableFieldId="1" dataDxfId="33"/>
    <tableColumn id="2" xr3:uid="{6C573F02-CE3B-48D6-8985-5038D1269001}" uniqueName="2" name="Code" queryTableFieldId="2" dataDxfId="32"/>
    <tableColumn id="3" xr3:uid="{AD4CEA8E-9839-4447-83E0-FDE1CC7B4F24}" uniqueName="3" name="Year" queryTableFieldId="3" dataDxfId="31"/>
    <tableColumn id="4" xr3:uid="{023CB354-E4C7-4EF2-B226-FFF9EE15FA18}" uniqueName="4" name="Unemployment rate, ages 15-24" queryTableFieldId="4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F79C4B-8399-46F0-A3B2-8EF5A2BD8F64}" name="Overall__Adult__Unemployment_Rate__WB" displayName="Overall__Adult__Unemployment_Rate__WB" ref="A1:D36" tableType="queryTable" totalsRowShown="0">
  <autoFilter ref="A1:D36" xr:uid="{00F79C4B-8399-46F0-A3B2-8EF5A2BD8F64}"/>
  <tableColumns count="4">
    <tableColumn id="1" xr3:uid="{CBF54405-A77D-4319-BAB4-C4D47C040DA0}" uniqueName="1" name="Entity" queryTableFieldId="1" dataDxfId="29"/>
    <tableColumn id="2" xr3:uid="{0E028A31-8EE6-401A-9CE3-41AA0999BFE8}" uniqueName="2" name="Code" queryTableFieldId="2" dataDxfId="28"/>
    <tableColumn id="3" xr3:uid="{E2C119C4-B706-4A25-A22F-A63FCC72EA5D}" uniqueName="3" name="Year" queryTableFieldId="3"/>
    <tableColumn id="4" xr3:uid="{20014A97-D7D2-408B-9311-E897F205509E}" uniqueName="4" name="Unemployment rat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12EE55-8376-474F-ABD8-E0E67263090E}" name="Labour_Force_Participation_Rate__WB" displayName="Labour_Force_Participation_Rate__WB" ref="A1:D37" tableType="queryTable" totalsRowShown="0" headerRowDxfId="27" dataDxfId="26">
  <autoFilter ref="A1:D37" xr:uid="{5A12EE55-8376-474F-ABD8-E0E67263090E}"/>
  <tableColumns count="4">
    <tableColumn id="1" xr3:uid="{9091B1C7-F9EB-421F-ABE0-984B87A7ED60}" uniqueName="1" name="Entity" queryTableFieldId="1" dataDxfId="25"/>
    <tableColumn id="2" xr3:uid="{BF899371-F1C8-47DA-9D86-E32E10A56844}" uniqueName="2" name="Code" queryTableFieldId="2" dataDxfId="24"/>
    <tableColumn id="3" xr3:uid="{31976D77-1A1B-451B-B341-085674A9F748}" uniqueName="3" name="Year" queryTableFieldId="3" dataDxfId="23"/>
    <tableColumn id="4" xr3:uid="{1FB1F3FA-2D1B-4F5A-A9F2-CC0D5F76C065}" uniqueName="4" name="Labor force participation rate" queryTableFieldId="4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77C81-608E-4735-BA1E-32B243FF832F}" name="Male_LFPR__ILO_WB" displayName="Male_LFPR__ILO_WB" ref="A1:D37" tableType="queryTable" totalsRowShown="0" headerRowDxfId="21" dataDxfId="20">
  <autoFilter ref="A1:D37" xr:uid="{78D77C81-608E-4735-BA1E-32B243FF832F}"/>
  <tableColumns count="4">
    <tableColumn id="1" xr3:uid="{C5D10820-E5EC-436A-B533-B521935F1DCE}" uniqueName="1" name="Entity" queryTableFieldId="1" dataDxfId="19"/>
    <tableColumn id="2" xr3:uid="{B0DC117F-A5FB-4188-A247-EACB0C2F39F6}" uniqueName="2" name="Code" queryTableFieldId="2" dataDxfId="18"/>
    <tableColumn id="3" xr3:uid="{83082A27-8EEC-4875-BC9E-64086F0AA4A3}" uniqueName="3" name="Year" queryTableFieldId="3" dataDxfId="17"/>
    <tableColumn id="4" xr3:uid="{DBDAC150-1EDE-44EA-8A0F-942D3D76D965}" uniqueName="4" name="Male labor force participation rate" queryTableFieldId="4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6F184E-4B8F-4BC5-910E-424DF2BF258E}" name="Female_LFPR__ILO_WB" displayName="Female_LFPR__ILO_WB" ref="A1:D37" tableType="queryTable" totalsRowShown="0" headerRowDxfId="15" dataDxfId="14">
  <autoFilter ref="A1:D37" xr:uid="{A66F184E-4B8F-4BC5-910E-424DF2BF258E}"/>
  <tableColumns count="4">
    <tableColumn id="1" xr3:uid="{CEBA3F5F-BCD8-4A42-B827-D06275461B93}" uniqueName="1" name="Entity" queryTableFieldId="1" dataDxfId="13"/>
    <tableColumn id="2" xr3:uid="{11AAEF1C-26AE-4A75-B499-CD1043D3376B}" uniqueName="2" name="Code" queryTableFieldId="2" dataDxfId="12"/>
    <tableColumn id="3" xr3:uid="{D3B12235-6D7C-485E-976F-32EF0A62D60F}" uniqueName="3" name="Year" queryTableFieldId="3" dataDxfId="11"/>
    <tableColumn id="4" xr3:uid="{5D65D8EC-09E0-41AE-8C1D-4702C44B36A8}" uniqueName="4" name="Female labor force participation rate" queryTableFieldId="4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42E340-2FFF-4529-9078-BE843EC6BC0E}" name="Employment_by_Sector__ILO_WB" displayName="Employment_by_Sector__ILO_WB" ref="A1:F36" tableType="queryTable" totalsRowShown="0" headerRowDxfId="9" dataDxfId="8">
  <autoFilter ref="A1:F36" xr:uid="{4342E340-2FFF-4529-9078-BE843EC6BC0E}"/>
  <tableColumns count="6">
    <tableColumn id="1" xr3:uid="{76126781-D46E-4C67-92D9-90722DA8724E}" uniqueName="1" name="Entity" queryTableFieldId="1" dataDxfId="7"/>
    <tableColumn id="2" xr3:uid="{F04A03CE-C731-496E-9B95-CA1FE5AF74D8}" uniqueName="2" name="Code" queryTableFieldId="2" dataDxfId="6"/>
    <tableColumn id="3" xr3:uid="{2DAD6716-5EFC-40C6-80F9-E7DCCE0FEC9B}" uniqueName="3" name="Year" queryTableFieldId="3" dataDxfId="5"/>
    <tableColumn id="4" xr3:uid="{F9B841C7-FF4F-4901-98A7-F345AE8AE60D}" uniqueName="4" name="Agriculture" queryTableFieldId="4" dataDxfId="4"/>
    <tableColumn id="5" xr3:uid="{E95CC265-CC32-4868-BE8A-69CD2834B8DA}" uniqueName="5" name="Industry" queryTableFieldId="5" dataDxfId="3"/>
    <tableColumn id="6" xr3:uid="{50C2FFB1-DF99-4C37-8B8E-3D0F01887A5A}" uniqueName="6" name="Services" queryTableFieldId="6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6936B2-8FE3-4A60-81CD-A6ABF4CCA7D6}" name="GDP_Per_Capita_Growth" displayName="GDP_Per_Capita_Growth" ref="A1:D36" tableType="queryTable" totalsRowShown="0">
  <autoFilter ref="A1:D36" xr:uid="{D36936B2-8FE3-4A60-81CD-A6ABF4CCA7D6}"/>
  <tableColumns count="4">
    <tableColumn id="1" xr3:uid="{61BE1217-F7E5-486A-9BBC-D5C4DF99738C}" uniqueName="1" name="Entity" queryTableFieldId="1" dataDxfId="1"/>
    <tableColumn id="2" xr3:uid="{87D48E69-58A8-44E1-B863-2E9654FB07D6}" uniqueName="2" name="Code" queryTableFieldId="2" dataDxfId="0"/>
    <tableColumn id="3" xr3:uid="{5A577B08-A3A5-4F8D-AFB7-34208539CA3C}" uniqueName="3" name="Year" queryTableFieldId="3"/>
    <tableColumn id="4" xr3:uid="{EA2F0886-3FD3-48D4-AF1B-135A08E9A78D}" uniqueName="4" name="GDP per capita growth (annual %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44DC-E01E-4273-8F81-92D3B4679A7F}">
  <dimension ref="A1:D36"/>
  <sheetViews>
    <sheetView topLeftCell="A14" workbookViewId="0">
      <selection activeCell="A2" sqref="A1:D2"/>
    </sheetView>
  </sheetViews>
  <sheetFormatPr defaultRowHeight="15" x14ac:dyDescent="0.25"/>
  <cols>
    <col min="1" max="1" width="17.85546875" style="1" customWidth="1"/>
    <col min="2" max="2" width="16.140625" style="1" customWidth="1"/>
    <col min="3" max="3" width="14.85546875" style="1" customWidth="1"/>
    <col min="4" max="4" width="38.5703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1991</v>
      </c>
      <c r="D2" s="1">
        <v>20.18</v>
      </c>
    </row>
    <row r="3" spans="1:4" x14ac:dyDescent="0.25">
      <c r="A3" s="1" t="s">
        <v>4</v>
      </c>
      <c r="B3" s="1" t="s">
        <v>5</v>
      </c>
      <c r="C3" s="1">
        <v>1992</v>
      </c>
      <c r="D3" s="1">
        <v>20.260000000000002</v>
      </c>
    </row>
    <row r="4" spans="1:4" x14ac:dyDescent="0.25">
      <c r="A4" s="1" t="s">
        <v>4</v>
      </c>
      <c r="B4" s="1" t="s">
        <v>5</v>
      </c>
      <c r="C4" s="1">
        <v>1993</v>
      </c>
      <c r="D4" s="1">
        <v>20.350000000000001</v>
      </c>
    </row>
    <row r="5" spans="1:4" x14ac:dyDescent="0.25">
      <c r="A5" s="1" t="s">
        <v>4</v>
      </c>
      <c r="B5" s="1" t="s">
        <v>5</v>
      </c>
      <c r="C5" s="1">
        <v>1994</v>
      </c>
      <c r="D5" s="1">
        <v>20.27</v>
      </c>
    </row>
    <row r="6" spans="1:4" x14ac:dyDescent="0.25">
      <c r="A6" s="1" t="s">
        <v>4</v>
      </c>
      <c r="B6" s="1" t="s">
        <v>5</v>
      </c>
      <c r="C6" s="1">
        <v>1995</v>
      </c>
      <c r="D6" s="1">
        <v>20.2</v>
      </c>
    </row>
    <row r="7" spans="1:4" x14ac:dyDescent="0.25">
      <c r="A7" s="1" t="s">
        <v>4</v>
      </c>
      <c r="B7" s="1" t="s">
        <v>5</v>
      </c>
      <c r="C7" s="1">
        <v>1996</v>
      </c>
      <c r="D7" s="1">
        <v>20.12</v>
      </c>
    </row>
    <row r="8" spans="1:4" x14ac:dyDescent="0.25">
      <c r="A8" s="1" t="s">
        <v>4</v>
      </c>
      <c r="B8" s="1" t="s">
        <v>5</v>
      </c>
      <c r="C8" s="1">
        <v>1997</v>
      </c>
      <c r="D8" s="1">
        <v>20.190000000000001</v>
      </c>
    </row>
    <row r="9" spans="1:4" x14ac:dyDescent="0.25">
      <c r="A9" s="1" t="s">
        <v>4</v>
      </c>
      <c r="B9" s="1" t="s">
        <v>5</v>
      </c>
      <c r="C9" s="1">
        <v>1998</v>
      </c>
      <c r="D9" s="1">
        <v>20.22</v>
      </c>
    </row>
    <row r="10" spans="1:4" x14ac:dyDescent="0.25">
      <c r="A10" s="1" t="s">
        <v>4</v>
      </c>
      <c r="B10" s="1" t="s">
        <v>5</v>
      </c>
      <c r="C10" s="1">
        <v>1999</v>
      </c>
      <c r="D10" s="1">
        <v>20.190000000000001</v>
      </c>
    </row>
    <row r="11" spans="1:4" x14ac:dyDescent="0.25">
      <c r="A11" s="1" t="s">
        <v>4</v>
      </c>
      <c r="B11" s="1" t="s">
        <v>5</v>
      </c>
      <c r="C11" s="1">
        <v>2000</v>
      </c>
      <c r="D11" s="1">
        <v>20.2</v>
      </c>
    </row>
    <row r="12" spans="1:4" x14ac:dyDescent="0.25">
      <c r="A12" s="1" t="s">
        <v>4</v>
      </c>
      <c r="B12" s="1" t="s">
        <v>5</v>
      </c>
      <c r="C12" s="1">
        <v>2001</v>
      </c>
      <c r="D12" s="1">
        <v>20.420000000000002</v>
      </c>
    </row>
    <row r="13" spans="1:4" x14ac:dyDescent="0.25">
      <c r="A13" s="1" t="s">
        <v>4</v>
      </c>
      <c r="B13" s="1" t="s">
        <v>5</v>
      </c>
      <c r="C13" s="1">
        <v>2002</v>
      </c>
      <c r="D13" s="1">
        <v>20.76</v>
      </c>
    </row>
    <row r="14" spans="1:4" x14ac:dyDescent="0.25">
      <c r="A14" s="1" t="s">
        <v>4</v>
      </c>
      <c r="B14" s="1" t="s">
        <v>5</v>
      </c>
      <c r="C14" s="1">
        <v>2003</v>
      </c>
      <c r="D14" s="1">
        <v>20.86</v>
      </c>
    </row>
    <row r="15" spans="1:4" x14ac:dyDescent="0.25">
      <c r="A15" s="1" t="s">
        <v>4</v>
      </c>
      <c r="B15" s="1" t="s">
        <v>5</v>
      </c>
      <c r="C15" s="1">
        <v>2004</v>
      </c>
      <c r="D15" s="1">
        <v>20.99</v>
      </c>
    </row>
    <row r="16" spans="1:4" x14ac:dyDescent="0.25">
      <c r="A16" s="1" t="s">
        <v>4</v>
      </c>
      <c r="B16" s="1" t="s">
        <v>5</v>
      </c>
      <c r="C16" s="1">
        <v>2005</v>
      </c>
      <c r="D16" s="1">
        <v>21.12</v>
      </c>
    </row>
    <row r="17" spans="1:4" x14ac:dyDescent="0.25">
      <c r="A17" s="1" t="s">
        <v>4</v>
      </c>
      <c r="B17" s="1" t="s">
        <v>5</v>
      </c>
      <c r="C17" s="1">
        <v>2006</v>
      </c>
      <c r="D17" s="1">
        <v>21.47</v>
      </c>
    </row>
    <row r="18" spans="1:4" x14ac:dyDescent="0.25">
      <c r="A18" s="1" t="s">
        <v>4</v>
      </c>
      <c r="B18" s="1" t="s">
        <v>5</v>
      </c>
      <c r="C18" s="1">
        <v>2007</v>
      </c>
      <c r="D18" s="1">
        <v>21.86</v>
      </c>
    </row>
    <row r="19" spans="1:4" x14ac:dyDescent="0.25">
      <c r="A19" s="1" t="s">
        <v>4</v>
      </c>
      <c r="B19" s="1" t="s">
        <v>5</v>
      </c>
      <c r="C19" s="1">
        <v>2008</v>
      </c>
      <c r="D19" s="1">
        <v>22.42</v>
      </c>
    </row>
    <row r="20" spans="1:4" x14ac:dyDescent="0.25">
      <c r="A20" s="1" t="s">
        <v>4</v>
      </c>
      <c r="B20" s="1" t="s">
        <v>5</v>
      </c>
      <c r="C20" s="1">
        <v>2009</v>
      </c>
      <c r="D20" s="1">
        <v>22.86</v>
      </c>
    </row>
    <row r="21" spans="1:4" x14ac:dyDescent="0.25">
      <c r="A21" s="1" t="s">
        <v>4</v>
      </c>
      <c r="B21" s="1" t="s">
        <v>5</v>
      </c>
      <c r="C21" s="1">
        <v>2010</v>
      </c>
      <c r="D21" s="1">
        <v>23.3</v>
      </c>
    </row>
    <row r="22" spans="1:4" x14ac:dyDescent="0.25">
      <c r="A22" s="1" t="s">
        <v>4</v>
      </c>
      <c r="B22" s="1" t="s">
        <v>5</v>
      </c>
      <c r="C22" s="1">
        <v>2011</v>
      </c>
      <c r="D22" s="1">
        <v>23.64</v>
      </c>
    </row>
    <row r="23" spans="1:4" x14ac:dyDescent="0.25">
      <c r="A23" s="1" t="s">
        <v>4</v>
      </c>
      <c r="B23" s="1" t="s">
        <v>5</v>
      </c>
      <c r="C23" s="1">
        <v>2012</v>
      </c>
      <c r="D23" s="1">
        <v>24.14</v>
      </c>
    </row>
    <row r="24" spans="1:4" x14ac:dyDescent="0.25">
      <c r="A24" s="1" t="s">
        <v>4</v>
      </c>
      <c r="B24" s="1" t="s">
        <v>5</v>
      </c>
      <c r="C24" s="1">
        <v>2013</v>
      </c>
      <c r="D24" s="1">
        <v>24.47</v>
      </c>
    </row>
    <row r="25" spans="1:4" x14ac:dyDescent="0.25">
      <c r="A25" s="1" t="s">
        <v>4</v>
      </c>
      <c r="B25" s="1" t="s">
        <v>5</v>
      </c>
      <c r="C25" s="1">
        <v>2014</v>
      </c>
      <c r="D25" s="1">
        <v>24.71</v>
      </c>
    </row>
    <row r="26" spans="1:4" x14ac:dyDescent="0.25">
      <c r="A26" s="1" t="s">
        <v>4</v>
      </c>
      <c r="B26" s="1" t="s">
        <v>5</v>
      </c>
      <c r="C26" s="1">
        <v>2015</v>
      </c>
      <c r="D26" s="1">
        <v>24.96</v>
      </c>
    </row>
    <row r="27" spans="1:4" x14ac:dyDescent="0.25">
      <c r="A27" s="1" t="s">
        <v>4</v>
      </c>
      <c r="B27" s="1" t="s">
        <v>5</v>
      </c>
      <c r="C27" s="1">
        <v>2016</v>
      </c>
      <c r="D27" s="1">
        <v>25.23</v>
      </c>
    </row>
    <row r="28" spans="1:4" x14ac:dyDescent="0.25">
      <c r="A28" s="1" t="s">
        <v>4</v>
      </c>
      <c r="B28" s="1" t="s">
        <v>5</v>
      </c>
      <c r="C28" s="1">
        <v>2017</v>
      </c>
      <c r="D28" s="1">
        <v>25.59</v>
      </c>
    </row>
    <row r="29" spans="1:4" x14ac:dyDescent="0.25">
      <c r="A29" s="1" t="s">
        <v>4</v>
      </c>
      <c r="B29" s="1" t="s">
        <v>5</v>
      </c>
      <c r="C29" s="1">
        <v>2018</v>
      </c>
      <c r="D29" s="1">
        <v>26</v>
      </c>
    </row>
    <row r="30" spans="1:4" x14ac:dyDescent="0.25">
      <c r="A30" s="1" t="s">
        <v>4</v>
      </c>
      <c r="B30" s="1" t="s">
        <v>5</v>
      </c>
      <c r="C30" s="1">
        <v>2019</v>
      </c>
      <c r="D30" s="1">
        <v>22.95</v>
      </c>
    </row>
    <row r="31" spans="1:4" x14ac:dyDescent="0.25">
      <c r="A31" s="1" t="s">
        <v>4</v>
      </c>
      <c r="B31" s="1" t="s">
        <v>5</v>
      </c>
      <c r="C31" s="1">
        <v>2020</v>
      </c>
      <c r="D31" s="1">
        <v>24.67</v>
      </c>
    </row>
    <row r="32" spans="1:4" x14ac:dyDescent="0.25">
      <c r="A32" s="1" t="s">
        <v>4</v>
      </c>
      <c r="B32" s="1" t="s">
        <v>5</v>
      </c>
      <c r="C32" s="1">
        <v>2021</v>
      </c>
      <c r="D32" s="1">
        <v>20.82</v>
      </c>
    </row>
    <row r="33" spans="1:4" x14ac:dyDescent="0.25">
      <c r="A33" s="1" t="s">
        <v>4</v>
      </c>
      <c r="B33" s="1" t="s">
        <v>5</v>
      </c>
      <c r="C33" s="1">
        <v>2022</v>
      </c>
      <c r="D33" s="1">
        <v>17.73</v>
      </c>
    </row>
    <row r="34" spans="1:4" x14ac:dyDescent="0.25">
      <c r="A34" s="1" t="s">
        <v>4</v>
      </c>
      <c r="B34" s="1" t="s">
        <v>5</v>
      </c>
      <c r="C34" s="1">
        <v>2023</v>
      </c>
      <c r="D34" s="1">
        <v>15.6</v>
      </c>
    </row>
    <row r="35" spans="1:4" x14ac:dyDescent="0.25">
      <c r="A35" s="1" t="s">
        <v>4</v>
      </c>
      <c r="B35" s="1" t="s">
        <v>5</v>
      </c>
      <c r="C35" s="1">
        <v>2024</v>
      </c>
      <c r="D35" s="1">
        <v>15.75</v>
      </c>
    </row>
    <row r="36" spans="1:4" x14ac:dyDescent="0.25">
      <c r="A36" s="1" t="s">
        <v>4</v>
      </c>
      <c r="B36" s="1" t="s">
        <v>5</v>
      </c>
      <c r="C36" s="1">
        <v>2025</v>
      </c>
      <c r="D36" s="1">
        <v>16.02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1FAB1-D65C-439A-B299-1F1ACD66CEB4}">
  <dimension ref="A1:D36"/>
  <sheetViews>
    <sheetView workbookViewId="0">
      <selection activeCell="F34" sqref="F34"/>
    </sheetView>
  </sheetViews>
  <sheetFormatPr defaultRowHeight="15" x14ac:dyDescent="0.25"/>
  <cols>
    <col min="1" max="1" width="19.28515625" customWidth="1"/>
    <col min="2" max="2" width="17.42578125" customWidth="1"/>
    <col min="3" max="3" width="14.140625" customWidth="1"/>
    <col min="4" max="4" width="21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4</v>
      </c>
      <c r="B2" t="s">
        <v>5</v>
      </c>
      <c r="C2">
        <v>1991</v>
      </c>
      <c r="D2">
        <v>7.64</v>
      </c>
    </row>
    <row r="3" spans="1:4" x14ac:dyDescent="0.25">
      <c r="A3" t="s">
        <v>4</v>
      </c>
      <c r="B3" t="s">
        <v>5</v>
      </c>
      <c r="C3">
        <v>1992</v>
      </c>
      <c r="D3">
        <v>7.65</v>
      </c>
    </row>
    <row r="4" spans="1:4" x14ac:dyDescent="0.25">
      <c r="A4" t="s">
        <v>4</v>
      </c>
      <c r="B4" t="s">
        <v>5</v>
      </c>
      <c r="C4">
        <v>1993</v>
      </c>
      <c r="D4">
        <v>7.66</v>
      </c>
    </row>
    <row r="5" spans="1:4" x14ac:dyDescent="0.25">
      <c r="A5" t="s">
        <v>4</v>
      </c>
      <c r="B5" t="s">
        <v>5</v>
      </c>
      <c r="C5">
        <v>1994</v>
      </c>
      <c r="D5">
        <v>7.59</v>
      </c>
    </row>
    <row r="6" spans="1:4" x14ac:dyDescent="0.25">
      <c r="A6" t="s">
        <v>4</v>
      </c>
      <c r="B6" t="s">
        <v>5</v>
      </c>
      <c r="C6">
        <v>1995</v>
      </c>
      <c r="D6">
        <v>7.57</v>
      </c>
    </row>
    <row r="7" spans="1:4" x14ac:dyDescent="0.25">
      <c r="A7" t="s">
        <v>4</v>
      </c>
      <c r="B7" t="s">
        <v>5</v>
      </c>
      <c r="C7">
        <v>1996</v>
      </c>
      <c r="D7">
        <v>7.54</v>
      </c>
    </row>
    <row r="8" spans="1:4" x14ac:dyDescent="0.25">
      <c r="A8" t="s">
        <v>4</v>
      </c>
      <c r="B8" t="s">
        <v>5</v>
      </c>
      <c r="C8">
        <v>1997</v>
      </c>
      <c r="D8">
        <v>7.57</v>
      </c>
    </row>
    <row r="9" spans="1:4" x14ac:dyDescent="0.25">
      <c r="A9" t="s">
        <v>4</v>
      </c>
      <c r="B9" t="s">
        <v>5</v>
      </c>
      <c r="C9">
        <v>1998</v>
      </c>
      <c r="D9">
        <v>7.6</v>
      </c>
    </row>
    <row r="10" spans="1:4" x14ac:dyDescent="0.25">
      <c r="A10" t="s">
        <v>4</v>
      </c>
      <c r="B10" t="s">
        <v>5</v>
      </c>
      <c r="C10">
        <v>1999</v>
      </c>
      <c r="D10">
        <v>7.58</v>
      </c>
    </row>
    <row r="11" spans="1:4" x14ac:dyDescent="0.25">
      <c r="A11" t="s">
        <v>4</v>
      </c>
      <c r="B11" t="s">
        <v>5</v>
      </c>
      <c r="C11">
        <v>2000</v>
      </c>
      <c r="D11">
        <v>7.59</v>
      </c>
    </row>
    <row r="12" spans="1:4" x14ac:dyDescent="0.25">
      <c r="A12" t="s">
        <v>4</v>
      </c>
      <c r="B12" t="s">
        <v>5</v>
      </c>
      <c r="C12">
        <v>2001</v>
      </c>
      <c r="D12">
        <v>7.61</v>
      </c>
    </row>
    <row r="13" spans="1:4" x14ac:dyDescent="0.25">
      <c r="A13" t="s">
        <v>4</v>
      </c>
      <c r="B13" t="s">
        <v>5</v>
      </c>
      <c r="C13">
        <v>2002</v>
      </c>
      <c r="D13">
        <v>7.68</v>
      </c>
    </row>
    <row r="14" spans="1:4" x14ac:dyDescent="0.25">
      <c r="A14" t="s">
        <v>4</v>
      </c>
      <c r="B14" t="s">
        <v>5</v>
      </c>
      <c r="C14">
        <v>2003</v>
      </c>
      <c r="D14">
        <v>7.63</v>
      </c>
    </row>
    <row r="15" spans="1:4" x14ac:dyDescent="0.25">
      <c r="A15" t="s">
        <v>4</v>
      </c>
      <c r="B15" t="s">
        <v>5</v>
      </c>
      <c r="C15">
        <v>2004</v>
      </c>
      <c r="D15">
        <v>7.6</v>
      </c>
    </row>
    <row r="16" spans="1:4" x14ac:dyDescent="0.25">
      <c r="A16" t="s">
        <v>4</v>
      </c>
      <c r="B16" t="s">
        <v>5</v>
      </c>
      <c r="C16">
        <v>2005</v>
      </c>
      <c r="D16">
        <v>7.55</v>
      </c>
    </row>
    <row r="17" spans="1:4" x14ac:dyDescent="0.25">
      <c r="A17" t="s">
        <v>4</v>
      </c>
      <c r="B17" t="s">
        <v>5</v>
      </c>
      <c r="C17">
        <v>2006</v>
      </c>
      <c r="D17">
        <v>7.55</v>
      </c>
    </row>
    <row r="18" spans="1:4" x14ac:dyDescent="0.25">
      <c r="A18" t="s">
        <v>4</v>
      </c>
      <c r="B18" t="s">
        <v>5</v>
      </c>
      <c r="C18">
        <v>2007</v>
      </c>
      <c r="D18">
        <v>7.56</v>
      </c>
    </row>
    <row r="19" spans="1:4" x14ac:dyDescent="0.25">
      <c r="A19" t="s">
        <v>4</v>
      </c>
      <c r="B19" t="s">
        <v>5</v>
      </c>
      <c r="C19">
        <v>2008</v>
      </c>
      <c r="D19">
        <v>7.63</v>
      </c>
    </row>
    <row r="20" spans="1:4" x14ac:dyDescent="0.25">
      <c r="A20" t="s">
        <v>4</v>
      </c>
      <c r="B20" t="s">
        <v>5</v>
      </c>
      <c r="C20">
        <v>2009</v>
      </c>
      <c r="D20">
        <v>7.64</v>
      </c>
    </row>
    <row r="21" spans="1:4" x14ac:dyDescent="0.25">
      <c r="A21" t="s">
        <v>4</v>
      </c>
      <c r="B21" t="s">
        <v>5</v>
      </c>
      <c r="C21">
        <v>2010</v>
      </c>
      <c r="D21">
        <v>7.63</v>
      </c>
    </row>
    <row r="22" spans="1:4" x14ac:dyDescent="0.25">
      <c r="A22" t="s">
        <v>4</v>
      </c>
      <c r="B22" t="s">
        <v>5</v>
      </c>
      <c r="C22">
        <v>2011</v>
      </c>
      <c r="D22">
        <v>7.61</v>
      </c>
    </row>
    <row r="23" spans="1:4" x14ac:dyDescent="0.25">
      <c r="A23" t="s">
        <v>4</v>
      </c>
      <c r="B23" t="s">
        <v>5</v>
      </c>
      <c r="C23">
        <v>2012</v>
      </c>
      <c r="D23">
        <v>7.65</v>
      </c>
    </row>
    <row r="24" spans="1:4" x14ac:dyDescent="0.25">
      <c r="A24" t="s">
        <v>4</v>
      </c>
      <c r="B24" t="s">
        <v>5</v>
      </c>
      <c r="C24">
        <v>2013</v>
      </c>
      <c r="D24">
        <v>7.68</v>
      </c>
    </row>
    <row r="25" spans="1:4" x14ac:dyDescent="0.25">
      <c r="A25" t="s">
        <v>4</v>
      </c>
      <c r="B25" t="s">
        <v>5</v>
      </c>
      <c r="C25">
        <v>2014</v>
      </c>
      <c r="D25">
        <v>7.66</v>
      </c>
    </row>
    <row r="26" spans="1:4" x14ac:dyDescent="0.25">
      <c r="A26" t="s">
        <v>4</v>
      </c>
      <c r="B26" t="s">
        <v>5</v>
      </c>
      <c r="C26">
        <v>2015</v>
      </c>
      <c r="D26">
        <v>7.63</v>
      </c>
    </row>
    <row r="27" spans="1:4" x14ac:dyDescent="0.25">
      <c r="A27" t="s">
        <v>4</v>
      </c>
      <c r="B27" t="s">
        <v>5</v>
      </c>
      <c r="C27">
        <v>2016</v>
      </c>
      <c r="D27">
        <v>7.61</v>
      </c>
    </row>
    <row r="28" spans="1:4" x14ac:dyDescent="0.25">
      <c r="A28" t="s">
        <v>4</v>
      </c>
      <c r="B28" t="s">
        <v>5</v>
      </c>
      <c r="C28">
        <v>2017</v>
      </c>
      <c r="D28">
        <v>7.63</v>
      </c>
    </row>
    <row r="29" spans="1:4" x14ac:dyDescent="0.25">
      <c r="A29" t="s">
        <v>4</v>
      </c>
      <c r="B29" t="s">
        <v>5</v>
      </c>
      <c r="C29">
        <v>2018</v>
      </c>
      <c r="D29">
        <v>7.65</v>
      </c>
    </row>
    <row r="30" spans="1:4" x14ac:dyDescent="0.25">
      <c r="A30" t="s">
        <v>4</v>
      </c>
      <c r="B30" t="s">
        <v>5</v>
      </c>
      <c r="C30">
        <v>2019</v>
      </c>
      <c r="D30">
        <v>6.51</v>
      </c>
    </row>
    <row r="31" spans="1:4" x14ac:dyDescent="0.25">
      <c r="A31" t="s">
        <v>4</v>
      </c>
      <c r="B31" t="s">
        <v>5</v>
      </c>
      <c r="C31">
        <v>2020</v>
      </c>
      <c r="D31">
        <v>7.86</v>
      </c>
    </row>
    <row r="32" spans="1:4" x14ac:dyDescent="0.25">
      <c r="A32" t="s">
        <v>4</v>
      </c>
      <c r="B32" t="s">
        <v>5</v>
      </c>
      <c r="C32">
        <v>2021</v>
      </c>
      <c r="D32">
        <v>6.38</v>
      </c>
    </row>
    <row r="33" spans="1:4" x14ac:dyDescent="0.25">
      <c r="A33" t="s">
        <v>4</v>
      </c>
      <c r="B33" t="s">
        <v>5</v>
      </c>
      <c r="C33">
        <v>2022</v>
      </c>
      <c r="D33">
        <v>4.82</v>
      </c>
    </row>
    <row r="34" spans="1:4" x14ac:dyDescent="0.25">
      <c r="A34" t="s">
        <v>4</v>
      </c>
      <c r="B34" t="s">
        <v>5</v>
      </c>
      <c r="C34">
        <v>2023</v>
      </c>
      <c r="D34">
        <v>4.17</v>
      </c>
    </row>
    <row r="35" spans="1:4" x14ac:dyDescent="0.25">
      <c r="A35" t="s">
        <v>4</v>
      </c>
      <c r="B35" t="s">
        <v>5</v>
      </c>
      <c r="C35">
        <v>2024</v>
      </c>
      <c r="D35">
        <v>4.17</v>
      </c>
    </row>
    <row r="36" spans="1:4" x14ac:dyDescent="0.25">
      <c r="A36" t="s">
        <v>4</v>
      </c>
      <c r="B36" t="s">
        <v>5</v>
      </c>
      <c r="C36">
        <v>2025</v>
      </c>
      <c r="D36">
        <v>4.22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B649-AE74-458C-AB33-025F6DFDE799}">
  <dimension ref="A1:D37"/>
  <sheetViews>
    <sheetView topLeftCell="M1" workbookViewId="0">
      <selection activeCell="K8" sqref="K8"/>
    </sheetView>
  </sheetViews>
  <sheetFormatPr defaultRowHeight="15" x14ac:dyDescent="0.25"/>
  <cols>
    <col min="1" max="1" width="11.28515625" style="1" customWidth="1"/>
    <col min="2" max="2" width="11.42578125" style="1" customWidth="1"/>
    <col min="3" max="3" width="16.140625" style="1" customWidth="1"/>
    <col min="4" max="4" width="29.425781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 s="1" t="s">
        <v>4</v>
      </c>
      <c r="B2" s="1" t="s">
        <v>5</v>
      </c>
      <c r="C2" s="1">
        <v>1990</v>
      </c>
      <c r="D2" s="1">
        <v>57.94</v>
      </c>
    </row>
    <row r="3" spans="1:4" x14ac:dyDescent="0.25">
      <c r="A3" s="1" t="s">
        <v>4</v>
      </c>
      <c r="B3" s="1" t="s">
        <v>5</v>
      </c>
      <c r="C3" s="1">
        <v>1991</v>
      </c>
      <c r="D3" s="1">
        <v>57.97</v>
      </c>
    </row>
    <row r="4" spans="1:4" x14ac:dyDescent="0.25">
      <c r="A4" s="1" t="s">
        <v>4</v>
      </c>
      <c r="B4" s="1" t="s">
        <v>5</v>
      </c>
      <c r="C4" s="1">
        <v>1992</v>
      </c>
      <c r="D4" s="1">
        <v>58</v>
      </c>
    </row>
    <row r="5" spans="1:4" x14ac:dyDescent="0.25">
      <c r="A5" s="1" t="s">
        <v>4</v>
      </c>
      <c r="B5" s="1" t="s">
        <v>5</v>
      </c>
      <c r="C5" s="1">
        <v>1993</v>
      </c>
      <c r="D5" s="1">
        <v>58.03</v>
      </c>
    </row>
    <row r="6" spans="1:4" x14ac:dyDescent="0.25">
      <c r="A6" s="1" t="s">
        <v>4</v>
      </c>
      <c r="B6" s="1" t="s">
        <v>5</v>
      </c>
      <c r="C6" s="1">
        <v>1994</v>
      </c>
      <c r="D6" s="1">
        <v>58.06</v>
      </c>
    </row>
    <row r="7" spans="1:4" x14ac:dyDescent="0.25">
      <c r="A7" s="1" t="s">
        <v>4</v>
      </c>
      <c r="B7" s="1" t="s">
        <v>5</v>
      </c>
      <c r="C7" s="1">
        <v>1995</v>
      </c>
      <c r="D7" s="1">
        <v>58.4</v>
      </c>
    </row>
    <row r="8" spans="1:4" x14ac:dyDescent="0.25">
      <c r="A8" s="1" t="s">
        <v>4</v>
      </c>
      <c r="B8" s="1" t="s">
        <v>5</v>
      </c>
      <c r="C8" s="1">
        <v>1996</v>
      </c>
      <c r="D8" s="1">
        <v>58.73</v>
      </c>
    </row>
    <row r="9" spans="1:4" x14ac:dyDescent="0.25">
      <c r="A9" s="1" t="s">
        <v>4</v>
      </c>
      <c r="B9" s="1" t="s">
        <v>5</v>
      </c>
      <c r="C9" s="1">
        <v>1997</v>
      </c>
      <c r="D9" s="1">
        <v>59.07</v>
      </c>
    </row>
    <row r="10" spans="1:4" x14ac:dyDescent="0.25">
      <c r="A10" s="1" t="s">
        <v>4</v>
      </c>
      <c r="B10" s="1" t="s">
        <v>5</v>
      </c>
      <c r="C10" s="1">
        <v>1998</v>
      </c>
      <c r="D10" s="1">
        <v>59.4</v>
      </c>
    </row>
    <row r="11" spans="1:4" x14ac:dyDescent="0.25">
      <c r="A11" s="1" t="s">
        <v>4</v>
      </c>
      <c r="B11" s="1" t="s">
        <v>5</v>
      </c>
      <c r="C11" s="1">
        <v>1999</v>
      </c>
      <c r="D11" s="1">
        <v>59.74</v>
      </c>
    </row>
    <row r="12" spans="1:4" x14ac:dyDescent="0.25">
      <c r="A12" s="1" t="s">
        <v>4</v>
      </c>
      <c r="B12" s="1" t="s">
        <v>5</v>
      </c>
      <c r="C12" s="1">
        <v>2000</v>
      </c>
      <c r="D12" s="1">
        <v>60.08</v>
      </c>
    </row>
    <row r="13" spans="1:4" x14ac:dyDescent="0.25">
      <c r="A13" s="1" t="s">
        <v>4</v>
      </c>
      <c r="B13" s="1" t="s">
        <v>5</v>
      </c>
      <c r="C13" s="1">
        <v>2001</v>
      </c>
      <c r="D13" s="1">
        <v>59.92</v>
      </c>
    </row>
    <row r="14" spans="1:4" x14ac:dyDescent="0.25">
      <c r="A14" s="1" t="s">
        <v>4</v>
      </c>
      <c r="B14" s="1" t="s">
        <v>5</v>
      </c>
      <c r="C14" s="1">
        <v>2002</v>
      </c>
      <c r="D14" s="1">
        <v>59.77</v>
      </c>
    </row>
    <row r="15" spans="1:4" x14ac:dyDescent="0.25">
      <c r="A15" s="1" t="s">
        <v>4</v>
      </c>
      <c r="B15" s="1" t="s">
        <v>5</v>
      </c>
      <c r="C15" s="1">
        <v>2003</v>
      </c>
      <c r="D15" s="1">
        <v>59.61</v>
      </c>
    </row>
    <row r="16" spans="1:4" x14ac:dyDescent="0.25">
      <c r="A16" s="1" t="s">
        <v>4</v>
      </c>
      <c r="B16" s="1" t="s">
        <v>5</v>
      </c>
      <c r="C16" s="1">
        <v>2004</v>
      </c>
      <c r="D16" s="1">
        <v>59.45</v>
      </c>
    </row>
    <row r="17" spans="1:4" x14ac:dyDescent="0.25">
      <c r="A17" s="1" t="s">
        <v>4</v>
      </c>
      <c r="B17" s="1" t="s">
        <v>5</v>
      </c>
      <c r="C17" s="1">
        <v>2005</v>
      </c>
      <c r="D17" s="1">
        <v>59.29</v>
      </c>
    </row>
    <row r="18" spans="1:4" x14ac:dyDescent="0.25">
      <c r="A18" s="1" t="s">
        <v>4</v>
      </c>
      <c r="B18" s="1" t="s">
        <v>5</v>
      </c>
      <c r="C18" s="1">
        <v>2006</v>
      </c>
      <c r="D18" s="1">
        <v>58.35</v>
      </c>
    </row>
    <row r="19" spans="1:4" x14ac:dyDescent="0.25">
      <c r="A19" s="1" t="s">
        <v>4</v>
      </c>
      <c r="B19" s="1" t="s">
        <v>5</v>
      </c>
      <c r="C19" s="1">
        <v>2007</v>
      </c>
      <c r="D19" s="1">
        <v>57.42</v>
      </c>
    </row>
    <row r="20" spans="1:4" x14ac:dyDescent="0.25">
      <c r="A20" s="1" t="s">
        <v>4</v>
      </c>
      <c r="B20" s="1" t="s">
        <v>5</v>
      </c>
      <c r="C20" s="1">
        <v>2008</v>
      </c>
      <c r="D20" s="1">
        <v>56.51</v>
      </c>
    </row>
    <row r="21" spans="1:4" x14ac:dyDescent="0.25">
      <c r="A21" s="1" t="s">
        <v>4</v>
      </c>
      <c r="B21" s="1" t="s">
        <v>5</v>
      </c>
      <c r="C21" s="1">
        <v>2009</v>
      </c>
      <c r="D21" s="1">
        <v>55.63</v>
      </c>
    </row>
    <row r="22" spans="1:4" x14ac:dyDescent="0.25">
      <c r="A22" s="1" t="s">
        <v>4</v>
      </c>
      <c r="B22" s="1" t="s">
        <v>5</v>
      </c>
      <c r="C22" s="1">
        <v>2010</v>
      </c>
      <c r="D22" s="1">
        <v>54.77</v>
      </c>
    </row>
    <row r="23" spans="1:4" x14ac:dyDescent="0.25">
      <c r="A23" s="1" t="s">
        <v>4</v>
      </c>
      <c r="B23" s="1" t="s">
        <v>5</v>
      </c>
      <c r="C23" s="1">
        <v>2011</v>
      </c>
      <c r="D23" s="1">
        <v>54.13</v>
      </c>
    </row>
    <row r="24" spans="1:4" x14ac:dyDescent="0.25">
      <c r="A24" s="1" t="s">
        <v>4</v>
      </c>
      <c r="B24" s="1" t="s">
        <v>5</v>
      </c>
      <c r="C24" s="1">
        <v>2012</v>
      </c>
      <c r="D24" s="1">
        <v>53.51</v>
      </c>
    </row>
    <row r="25" spans="1:4" x14ac:dyDescent="0.25">
      <c r="A25" s="1" t="s">
        <v>4</v>
      </c>
      <c r="B25" s="1" t="s">
        <v>5</v>
      </c>
      <c r="C25" s="1">
        <v>2013</v>
      </c>
      <c r="D25" s="1">
        <v>53.36</v>
      </c>
    </row>
    <row r="26" spans="1:4" x14ac:dyDescent="0.25">
      <c r="A26" s="1" t="s">
        <v>4</v>
      </c>
      <c r="B26" s="1" t="s">
        <v>5</v>
      </c>
      <c r="C26" s="1">
        <v>2014</v>
      </c>
      <c r="D26" s="1">
        <v>53.21</v>
      </c>
    </row>
    <row r="27" spans="1:4" x14ac:dyDescent="0.25">
      <c r="A27" s="1" t="s">
        <v>4</v>
      </c>
      <c r="B27" s="1" t="s">
        <v>5</v>
      </c>
      <c r="C27" s="1">
        <v>2015</v>
      </c>
      <c r="D27" s="1">
        <v>53.03</v>
      </c>
    </row>
    <row r="28" spans="1:4" x14ac:dyDescent="0.25">
      <c r="A28" s="1" t="s">
        <v>4</v>
      </c>
      <c r="B28" s="1" t="s">
        <v>5</v>
      </c>
      <c r="C28" s="1">
        <v>2016</v>
      </c>
      <c r="D28" s="1">
        <v>52.85</v>
      </c>
    </row>
    <row r="29" spans="1:4" x14ac:dyDescent="0.25">
      <c r="A29" s="1" t="s">
        <v>4</v>
      </c>
      <c r="B29" s="1" t="s">
        <v>5</v>
      </c>
      <c r="C29" s="1">
        <v>2017</v>
      </c>
      <c r="D29" s="1">
        <v>52.67</v>
      </c>
    </row>
    <row r="30" spans="1:4" x14ac:dyDescent="0.25">
      <c r="A30" s="1" t="s">
        <v>4</v>
      </c>
      <c r="B30" s="1" t="s">
        <v>5</v>
      </c>
      <c r="C30" s="1">
        <v>2018</v>
      </c>
      <c r="D30" s="1">
        <v>52.48</v>
      </c>
    </row>
    <row r="31" spans="1:4" x14ac:dyDescent="0.25">
      <c r="A31" s="1" t="s">
        <v>4</v>
      </c>
      <c r="B31" s="1" t="s">
        <v>5</v>
      </c>
      <c r="C31" s="1">
        <v>2019</v>
      </c>
      <c r="D31" s="1">
        <v>52.28</v>
      </c>
    </row>
    <row r="32" spans="1:4" x14ac:dyDescent="0.25">
      <c r="A32" s="1" t="s">
        <v>4</v>
      </c>
      <c r="B32" s="1" t="s">
        <v>5</v>
      </c>
      <c r="C32" s="1">
        <v>2020</v>
      </c>
      <c r="D32" s="1">
        <v>51.55</v>
      </c>
    </row>
    <row r="33" spans="1:4" x14ac:dyDescent="0.25">
      <c r="A33" s="1" t="s">
        <v>4</v>
      </c>
      <c r="B33" s="1" t="s">
        <v>5</v>
      </c>
      <c r="C33" s="1">
        <v>2021</v>
      </c>
      <c r="D33" s="1">
        <v>52.52</v>
      </c>
    </row>
    <row r="34" spans="1:4" x14ac:dyDescent="0.25">
      <c r="A34" s="1" t="s">
        <v>4</v>
      </c>
      <c r="B34" s="1" t="s">
        <v>5</v>
      </c>
      <c r="C34" s="1">
        <v>2022</v>
      </c>
      <c r="D34" s="1">
        <v>53.59</v>
      </c>
    </row>
    <row r="35" spans="1:4" x14ac:dyDescent="0.25">
      <c r="A35" s="1" t="s">
        <v>4</v>
      </c>
      <c r="B35" s="1" t="s">
        <v>5</v>
      </c>
      <c r="C35" s="1">
        <v>2023</v>
      </c>
      <c r="D35" s="1">
        <v>54.7</v>
      </c>
    </row>
    <row r="36" spans="1:4" x14ac:dyDescent="0.25">
      <c r="A36" s="1" t="s">
        <v>4</v>
      </c>
      <c r="B36" s="1" t="s">
        <v>5</v>
      </c>
      <c r="C36" s="1">
        <v>2024</v>
      </c>
      <c r="D36" s="1">
        <v>55.64</v>
      </c>
    </row>
    <row r="37" spans="1:4" x14ac:dyDescent="0.25">
      <c r="A37" s="1" t="s">
        <v>4</v>
      </c>
      <c r="B37" s="1" t="s">
        <v>5</v>
      </c>
      <c r="C37" s="1">
        <v>2025</v>
      </c>
      <c r="D37" s="1">
        <v>55.66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F6CB-458F-4747-9E07-9998906B5D6B}">
  <dimension ref="A1:D37"/>
  <sheetViews>
    <sheetView workbookViewId="0">
      <selection activeCell="E16" sqref="E16"/>
    </sheetView>
  </sheetViews>
  <sheetFormatPr defaultRowHeight="15" x14ac:dyDescent="0.25"/>
  <cols>
    <col min="1" max="1" width="10.42578125" style="1" customWidth="1"/>
    <col min="2" max="2" width="12.28515625" style="1" customWidth="1"/>
    <col min="3" max="3" width="10.28515625" style="1" customWidth="1"/>
    <col min="4" max="4" width="34.28515625" style="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5">
      <c r="A2" s="1" t="s">
        <v>4</v>
      </c>
      <c r="B2" s="1" t="s">
        <v>5</v>
      </c>
      <c r="C2" s="1">
        <v>1990</v>
      </c>
      <c r="D2" s="1">
        <v>84.01</v>
      </c>
    </row>
    <row r="3" spans="1:4" x14ac:dyDescent="0.25">
      <c r="A3" s="1" t="s">
        <v>4</v>
      </c>
      <c r="B3" s="1" t="s">
        <v>5</v>
      </c>
      <c r="C3" s="1">
        <v>1991</v>
      </c>
      <c r="D3" s="1">
        <v>83.98</v>
      </c>
    </row>
    <row r="4" spans="1:4" x14ac:dyDescent="0.25">
      <c r="A4" s="1" t="s">
        <v>4</v>
      </c>
      <c r="B4" s="1" t="s">
        <v>5</v>
      </c>
      <c r="C4" s="1">
        <v>1992</v>
      </c>
      <c r="D4" s="1">
        <v>83.94</v>
      </c>
    </row>
    <row r="5" spans="1:4" x14ac:dyDescent="0.25">
      <c r="A5" s="1" t="s">
        <v>4</v>
      </c>
      <c r="B5" s="1" t="s">
        <v>5</v>
      </c>
      <c r="C5" s="1">
        <v>1993</v>
      </c>
      <c r="D5" s="1">
        <v>83.9</v>
      </c>
    </row>
    <row r="6" spans="1:4" x14ac:dyDescent="0.25">
      <c r="A6" s="1" t="s">
        <v>4</v>
      </c>
      <c r="B6" s="1" t="s">
        <v>5</v>
      </c>
      <c r="C6" s="1">
        <v>1994</v>
      </c>
      <c r="D6" s="1">
        <v>83.84</v>
      </c>
    </row>
    <row r="7" spans="1:4" x14ac:dyDescent="0.25">
      <c r="A7" s="1" t="s">
        <v>4</v>
      </c>
      <c r="B7" s="1" t="s">
        <v>5</v>
      </c>
      <c r="C7" s="1">
        <v>1995</v>
      </c>
      <c r="D7" s="1">
        <v>83.93</v>
      </c>
    </row>
    <row r="8" spans="1:4" x14ac:dyDescent="0.25">
      <c r="A8" s="1" t="s">
        <v>4</v>
      </c>
      <c r="B8" s="1" t="s">
        <v>5</v>
      </c>
      <c r="C8" s="1">
        <v>1996</v>
      </c>
      <c r="D8" s="1">
        <v>84.01</v>
      </c>
    </row>
    <row r="9" spans="1:4" x14ac:dyDescent="0.25">
      <c r="A9" s="1" t="s">
        <v>4</v>
      </c>
      <c r="B9" s="1" t="s">
        <v>5</v>
      </c>
      <c r="C9" s="1">
        <v>1997</v>
      </c>
      <c r="D9" s="1">
        <v>84.08</v>
      </c>
    </row>
    <row r="10" spans="1:4" x14ac:dyDescent="0.25">
      <c r="A10" s="1" t="s">
        <v>4</v>
      </c>
      <c r="B10" s="1" t="s">
        <v>5</v>
      </c>
      <c r="C10" s="1">
        <v>1998</v>
      </c>
      <c r="D10" s="1">
        <v>84.16</v>
      </c>
    </row>
    <row r="11" spans="1:4" x14ac:dyDescent="0.25">
      <c r="A11" s="1" t="s">
        <v>4</v>
      </c>
      <c r="B11" s="1" t="s">
        <v>5</v>
      </c>
      <c r="C11" s="1">
        <v>1999</v>
      </c>
      <c r="D11" s="1">
        <v>84.23</v>
      </c>
    </row>
    <row r="12" spans="1:4" x14ac:dyDescent="0.25">
      <c r="A12" s="1" t="s">
        <v>4</v>
      </c>
      <c r="B12" s="1" t="s">
        <v>5</v>
      </c>
      <c r="C12" s="1">
        <v>2000</v>
      </c>
      <c r="D12" s="1">
        <v>84.3</v>
      </c>
    </row>
    <row r="13" spans="1:4" x14ac:dyDescent="0.25">
      <c r="A13" s="1" t="s">
        <v>4</v>
      </c>
      <c r="B13" s="1" t="s">
        <v>5</v>
      </c>
      <c r="C13" s="1">
        <v>2001</v>
      </c>
      <c r="D13" s="1">
        <v>83.92</v>
      </c>
    </row>
    <row r="14" spans="1:4" x14ac:dyDescent="0.25">
      <c r="A14" s="1" t="s">
        <v>4</v>
      </c>
      <c r="B14" s="1" t="s">
        <v>5</v>
      </c>
      <c r="C14" s="1">
        <v>2002</v>
      </c>
      <c r="D14" s="1">
        <v>83.53</v>
      </c>
    </row>
    <row r="15" spans="1:4" x14ac:dyDescent="0.25">
      <c r="A15" s="1" t="s">
        <v>4</v>
      </c>
      <c r="B15" s="1" t="s">
        <v>5</v>
      </c>
      <c r="C15" s="1">
        <v>2003</v>
      </c>
      <c r="D15" s="1">
        <v>83.14</v>
      </c>
    </row>
    <row r="16" spans="1:4" x14ac:dyDescent="0.25">
      <c r="A16" s="1" t="s">
        <v>4</v>
      </c>
      <c r="B16" s="1" t="s">
        <v>5</v>
      </c>
      <c r="C16" s="1">
        <v>2004</v>
      </c>
      <c r="D16" s="1">
        <v>82.75</v>
      </c>
    </row>
    <row r="17" spans="1:4" x14ac:dyDescent="0.25">
      <c r="A17" s="1" t="s">
        <v>4</v>
      </c>
      <c r="B17" s="1" t="s">
        <v>5</v>
      </c>
      <c r="C17" s="1">
        <v>2005</v>
      </c>
      <c r="D17" s="1">
        <v>82.36</v>
      </c>
    </row>
    <row r="18" spans="1:4" x14ac:dyDescent="0.25">
      <c r="A18" s="1" t="s">
        <v>4</v>
      </c>
      <c r="B18" s="1" t="s">
        <v>5</v>
      </c>
      <c r="C18" s="1">
        <v>2006</v>
      </c>
      <c r="D18" s="1">
        <v>81.81</v>
      </c>
    </row>
    <row r="19" spans="1:4" x14ac:dyDescent="0.25">
      <c r="A19" s="1" t="s">
        <v>4</v>
      </c>
      <c r="B19" s="1" t="s">
        <v>5</v>
      </c>
      <c r="C19" s="1">
        <v>2007</v>
      </c>
      <c r="D19" s="1">
        <v>81.27</v>
      </c>
    </row>
    <row r="20" spans="1:4" x14ac:dyDescent="0.25">
      <c r="A20" s="1" t="s">
        <v>4</v>
      </c>
      <c r="B20" s="1" t="s">
        <v>5</v>
      </c>
      <c r="C20" s="1">
        <v>2008</v>
      </c>
      <c r="D20" s="1">
        <v>80.72</v>
      </c>
    </row>
    <row r="21" spans="1:4" x14ac:dyDescent="0.25">
      <c r="A21" s="1" t="s">
        <v>4</v>
      </c>
      <c r="B21" s="1" t="s">
        <v>5</v>
      </c>
      <c r="C21" s="1">
        <v>2009</v>
      </c>
      <c r="D21" s="1">
        <v>80.19</v>
      </c>
    </row>
    <row r="22" spans="1:4" x14ac:dyDescent="0.25">
      <c r="A22" s="1" t="s">
        <v>4</v>
      </c>
      <c r="B22" s="1" t="s">
        <v>5</v>
      </c>
      <c r="C22" s="1">
        <v>2010</v>
      </c>
      <c r="D22" s="1">
        <v>79.67</v>
      </c>
    </row>
    <row r="23" spans="1:4" x14ac:dyDescent="0.25">
      <c r="A23" s="1" t="s">
        <v>4</v>
      </c>
      <c r="B23" s="1" t="s">
        <v>5</v>
      </c>
      <c r="C23" s="1">
        <v>2011</v>
      </c>
      <c r="D23" s="1">
        <v>79.23</v>
      </c>
    </row>
    <row r="24" spans="1:4" x14ac:dyDescent="0.25">
      <c r="A24" s="1" t="s">
        <v>4</v>
      </c>
      <c r="B24" s="1" t="s">
        <v>5</v>
      </c>
      <c r="C24" s="1">
        <v>2012</v>
      </c>
      <c r="D24" s="1">
        <v>78.8</v>
      </c>
    </row>
    <row r="25" spans="1:4" x14ac:dyDescent="0.25">
      <c r="A25" s="1" t="s">
        <v>4</v>
      </c>
      <c r="B25" s="1" t="s">
        <v>5</v>
      </c>
      <c r="C25" s="1">
        <v>2013</v>
      </c>
      <c r="D25" s="1">
        <v>78.61</v>
      </c>
    </row>
    <row r="26" spans="1:4" x14ac:dyDescent="0.25">
      <c r="A26" s="1" t="s">
        <v>4</v>
      </c>
      <c r="B26" s="1" t="s">
        <v>5</v>
      </c>
      <c r="C26" s="1">
        <v>2014</v>
      </c>
      <c r="D26" s="1">
        <v>78.349999999999994</v>
      </c>
    </row>
    <row r="27" spans="1:4" x14ac:dyDescent="0.25">
      <c r="A27" s="1" t="s">
        <v>4</v>
      </c>
      <c r="B27" s="1" t="s">
        <v>5</v>
      </c>
      <c r="C27" s="1">
        <v>2015</v>
      </c>
      <c r="D27" s="1">
        <v>78.040000000000006</v>
      </c>
    </row>
    <row r="28" spans="1:4" x14ac:dyDescent="0.25">
      <c r="A28" s="1" t="s">
        <v>4</v>
      </c>
      <c r="B28" s="1" t="s">
        <v>5</v>
      </c>
      <c r="C28" s="1">
        <v>2016</v>
      </c>
      <c r="D28" s="1">
        <v>77.69</v>
      </c>
    </row>
    <row r="29" spans="1:4" x14ac:dyDescent="0.25">
      <c r="A29" s="1" t="s">
        <v>4</v>
      </c>
      <c r="B29" s="1" t="s">
        <v>5</v>
      </c>
      <c r="C29" s="1">
        <v>2017</v>
      </c>
      <c r="D29" s="1">
        <v>77.34</v>
      </c>
    </row>
    <row r="30" spans="1:4" x14ac:dyDescent="0.25">
      <c r="A30" s="1" t="s">
        <v>4</v>
      </c>
      <c r="B30" s="1" t="s">
        <v>5</v>
      </c>
      <c r="C30" s="1">
        <v>2018</v>
      </c>
      <c r="D30" s="1">
        <v>76.97</v>
      </c>
    </row>
    <row r="31" spans="1:4" x14ac:dyDescent="0.25">
      <c r="A31" s="1" t="s">
        <v>4</v>
      </c>
      <c r="B31" s="1" t="s">
        <v>5</v>
      </c>
      <c r="C31" s="1">
        <v>2019</v>
      </c>
      <c r="D31" s="1">
        <v>76.61</v>
      </c>
    </row>
    <row r="32" spans="1:4" x14ac:dyDescent="0.25">
      <c r="A32" s="1" t="s">
        <v>4</v>
      </c>
      <c r="B32" s="1" t="s">
        <v>5</v>
      </c>
      <c r="C32" s="1">
        <v>2020</v>
      </c>
      <c r="D32" s="1">
        <v>75.69</v>
      </c>
    </row>
    <row r="33" spans="1:4" x14ac:dyDescent="0.25">
      <c r="A33" s="1" t="s">
        <v>4</v>
      </c>
      <c r="B33" s="1" t="s">
        <v>5</v>
      </c>
      <c r="C33" s="1">
        <v>2021</v>
      </c>
      <c r="D33" s="1">
        <v>75.959999999999994</v>
      </c>
    </row>
    <row r="34" spans="1:4" x14ac:dyDescent="0.25">
      <c r="A34" s="1" t="s">
        <v>4</v>
      </c>
      <c r="B34" s="1" t="s">
        <v>5</v>
      </c>
      <c r="C34" s="1">
        <v>2022</v>
      </c>
      <c r="D34" s="1">
        <v>76.5</v>
      </c>
    </row>
    <row r="35" spans="1:4" x14ac:dyDescent="0.25">
      <c r="A35" s="1" t="s">
        <v>4</v>
      </c>
      <c r="B35" s="1" t="s">
        <v>5</v>
      </c>
      <c r="C35" s="1">
        <v>2023</v>
      </c>
      <c r="D35" s="1">
        <v>77.12</v>
      </c>
    </row>
    <row r="36" spans="1:4" x14ac:dyDescent="0.25">
      <c r="A36" s="1" t="s">
        <v>4</v>
      </c>
      <c r="B36" s="1" t="s">
        <v>5</v>
      </c>
      <c r="C36" s="1">
        <v>2024</v>
      </c>
      <c r="D36" s="1">
        <v>77.59</v>
      </c>
    </row>
    <row r="37" spans="1:4" x14ac:dyDescent="0.25">
      <c r="A37" s="1" t="s">
        <v>4</v>
      </c>
      <c r="B37" s="1" t="s">
        <v>5</v>
      </c>
      <c r="C37" s="1">
        <v>2025</v>
      </c>
      <c r="D37" s="1">
        <v>77.62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FE2AD-72F8-4D9B-9806-2B0AB1178235}">
  <dimension ref="A1:D37"/>
  <sheetViews>
    <sheetView workbookViewId="0">
      <selection activeCell="E6" sqref="E6"/>
    </sheetView>
  </sheetViews>
  <sheetFormatPr defaultRowHeight="15" x14ac:dyDescent="0.25"/>
  <cols>
    <col min="1" max="3" width="18.5703125" style="1" customWidth="1"/>
    <col min="4" max="4" width="38.8554687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25">
      <c r="A2" s="1" t="s">
        <v>4</v>
      </c>
      <c r="B2" s="1" t="s">
        <v>5</v>
      </c>
      <c r="C2" s="1">
        <v>1990</v>
      </c>
      <c r="D2" s="1">
        <v>30.26</v>
      </c>
    </row>
    <row r="3" spans="1:4" x14ac:dyDescent="0.25">
      <c r="A3" s="1" t="s">
        <v>4</v>
      </c>
      <c r="B3" s="1" t="s">
        <v>5</v>
      </c>
      <c r="C3" s="1">
        <v>1991</v>
      </c>
      <c r="D3" s="1">
        <v>30.36</v>
      </c>
    </row>
    <row r="4" spans="1:4" x14ac:dyDescent="0.25">
      <c r="A4" s="1" t="s">
        <v>4</v>
      </c>
      <c r="B4" s="1" t="s">
        <v>5</v>
      </c>
      <c r="C4" s="1">
        <v>1992</v>
      </c>
      <c r="D4" s="1">
        <v>30.48</v>
      </c>
    </row>
    <row r="5" spans="1:4" x14ac:dyDescent="0.25">
      <c r="A5" s="1" t="s">
        <v>4</v>
      </c>
      <c r="B5" s="1" t="s">
        <v>5</v>
      </c>
      <c r="C5" s="1">
        <v>1993</v>
      </c>
      <c r="D5" s="1">
        <v>30.6</v>
      </c>
    </row>
    <row r="6" spans="1:4" x14ac:dyDescent="0.25">
      <c r="A6" s="1" t="s">
        <v>4</v>
      </c>
      <c r="B6" s="1" t="s">
        <v>5</v>
      </c>
      <c r="C6" s="1">
        <v>1994</v>
      </c>
      <c r="D6" s="1">
        <v>30.74</v>
      </c>
    </row>
    <row r="7" spans="1:4" x14ac:dyDescent="0.25">
      <c r="A7" s="1" t="s">
        <v>4</v>
      </c>
      <c r="B7" s="1" t="s">
        <v>5</v>
      </c>
      <c r="C7" s="1">
        <v>1995</v>
      </c>
      <c r="D7" s="1">
        <v>31.33</v>
      </c>
    </row>
    <row r="8" spans="1:4" x14ac:dyDescent="0.25">
      <c r="A8" s="1" t="s">
        <v>4</v>
      </c>
      <c r="B8" s="1" t="s">
        <v>5</v>
      </c>
      <c r="C8" s="1">
        <v>1996</v>
      </c>
      <c r="D8" s="1">
        <v>31.93</v>
      </c>
    </row>
    <row r="9" spans="1:4" x14ac:dyDescent="0.25">
      <c r="A9" s="1" t="s">
        <v>4</v>
      </c>
      <c r="B9" s="1" t="s">
        <v>5</v>
      </c>
      <c r="C9" s="1">
        <v>1997</v>
      </c>
      <c r="D9" s="1">
        <v>32.54</v>
      </c>
    </row>
    <row r="10" spans="1:4" x14ac:dyDescent="0.25">
      <c r="A10" s="1" t="s">
        <v>4</v>
      </c>
      <c r="B10" s="1" t="s">
        <v>5</v>
      </c>
      <c r="C10" s="1">
        <v>1998</v>
      </c>
      <c r="D10" s="1">
        <v>33.159999999999997</v>
      </c>
    </row>
    <row r="11" spans="1:4" x14ac:dyDescent="0.25">
      <c r="A11" s="1" t="s">
        <v>4</v>
      </c>
      <c r="B11" s="1" t="s">
        <v>5</v>
      </c>
      <c r="C11" s="1">
        <v>1999</v>
      </c>
      <c r="D11" s="1">
        <v>33.78</v>
      </c>
    </row>
    <row r="12" spans="1:4" x14ac:dyDescent="0.25">
      <c r="A12" s="1" t="s">
        <v>4</v>
      </c>
      <c r="B12" s="1" t="s">
        <v>5</v>
      </c>
      <c r="C12" s="1">
        <v>2000</v>
      </c>
      <c r="D12" s="1">
        <v>34.4</v>
      </c>
    </row>
    <row r="13" spans="1:4" x14ac:dyDescent="0.25">
      <c r="A13" s="1" t="s">
        <v>4</v>
      </c>
      <c r="B13" s="1" t="s">
        <v>5</v>
      </c>
      <c r="C13" s="1">
        <v>2001</v>
      </c>
      <c r="D13" s="1">
        <v>34.479999999999997</v>
      </c>
    </row>
    <row r="14" spans="1:4" x14ac:dyDescent="0.25">
      <c r="A14" s="1" t="s">
        <v>4</v>
      </c>
      <c r="B14" s="1" t="s">
        <v>5</v>
      </c>
      <c r="C14" s="1">
        <v>2002</v>
      </c>
      <c r="D14" s="1">
        <v>34.57</v>
      </c>
    </row>
    <row r="15" spans="1:4" x14ac:dyDescent="0.25">
      <c r="A15" s="1" t="s">
        <v>4</v>
      </c>
      <c r="B15" s="1" t="s">
        <v>5</v>
      </c>
      <c r="C15" s="1">
        <v>2003</v>
      </c>
      <c r="D15" s="1">
        <v>34.659999999999997</v>
      </c>
    </row>
    <row r="16" spans="1:4" x14ac:dyDescent="0.25">
      <c r="A16" s="1" t="s">
        <v>4</v>
      </c>
      <c r="B16" s="1" t="s">
        <v>5</v>
      </c>
      <c r="C16" s="1">
        <v>2004</v>
      </c>
      <c r="D16" s="1">
        <v>34.75</v>
      </c>
    </row>
    <row r="17" spans="1:4" x14ac:dyDescent="0.25">
      <c r="A17" s="1" t="s">
        <v>4</v>
      </c>
      <c r="B17" s="1" t="s">
        <v>5</v>
      </c>
      <c r="C17" s="1">
        <v>2005</v>
      </c>
      <c r="D17" s="1">
        <v>34.85</v>
      </c>
    </row>
    <row r="18" spans="1:4" x14ac:dyDescent="0.25">
      <c r="A18" s="1" t="s">
        <v>4</v>
      </c>
      <c r="B18" s="1" t="s">
        <v>5</v>
      </c>
      <c r="C18" s="1">
        <v>2006</v>
      </c>
      <c r="D18" s="1">
        <v>33.5</v>
      </c>
    </row>
    <row r="19" spans="1:4" x14ac:dyDescent="0.25">
      <c r="A19" s="1" t="s">
        <v>4</v>
      </c>
      <c r="B19" s="1" t="s">
        <v>5</v>
      </c>
      <c r="C19" s="1">
        <v>2007</v>
      </c>
      <c r="D19" s="1">
        <v>32.18</v>
      </c>
    </row>
    <row r="20" spans="1:4" x14ac:dyDescent="0.25">
      <c r="A20" s="1" t="s">
        <v>4</v>
      </c>
      <c r="B20" s="1" t="s">
        <v>5</v>
      </c>
      <c r="C20" s="1">
        <v>2008</v>
      </c>
      <c r="D20" s="1">
        <v>30.89</v>
      </c>
    </row>
    <row r="21" spans="1:4" x14ac:dyDescent="0.25">
      <c r="A21" s="1" t="s">
        <v>4</v>
      </c>
      <c r="B21" s="1" t="s">
        <v>5</v>
      </c>
      <c r="C21" s="1">
        <v>2009</v>
      </c>
      <c r="D21" s="1">
        <v>29.64</v>
      </c>
    </row>
    <row r="22" spans="1:4" x14ac:dyDescent="0.25">
      <c r="A22" s="1" t="s">
        <v>4</v>
      </c>
      <c r="B22" s="1" t="s">
        <v>5</v>
      </c>
      <c r="C22" s="1">
        <v>2010</v>
      </c>
      <c r="D22" s="1">
        <v>28.43</v>
      </c>
    </row>
    <row r="23" spans="1:4" x14ac:dyDescent="0.25">
      <c r="A23" s="1" t="s">
        <v>4</v>
      </c>
      <c r="B23" s="1" t="s">
        <v>5</v>
      </c>
      <c r="C23" s="1">
        <v>2011</v>
      </c>
      <c r="D23" s="1">
        <v>27.58</v>
      </c>
    </row>
    <row r="24" spans="1:4" x14ac:dyDescent="0.25">
      <c r="A24" s="1" t="s">
        <v>4</v>
      </c>
      <c r="B24" s="1" t="s">
        <v>5</v>
      </c>
      <c r="C24" s="1">
        <v>2012</v>
      </c>
      <c r="D24" s="1">
        <v>26.76</v>
      </c>
    </row>
    <row r="25" spans="1:4" x14ac:dyDescent="0.25">
      <c r="A25" s="1" t="s">
        <v>4</v>
      </c>
      <c r="B25" s="1" t="s">
        <v>5</v>
      </c>
      <c r="C25" s="1">
        <v>2013</v>
      </c>
      <c r="D25" s="1">
        <v>26.67</v>
      </c>
    </row>
    <row r="26" spans="1:4" x14ac:dyDescent="0.25">
      <c r="A26" s="1" t="s">
        <v>4</v>
      </c>
      <c r="B26" s="1" t="s">
        <v>5</v>
      </c>
      <c r="C26" s="1">
        <v>2014</v>
      </c>
      <c r="D26" s="1">
        <v>26.61</v>
      </c>
    </row>
    <row r="27" spans="1:4" x14ac:dyDescent="0.25">
      <c r="A27" s="1" t="s">
        <v>4</v>
      </c>
      <c r="B27" s="1" t="s">
        <v>5</v>
      </c>
      <c r="C27" s="1">
        <v>2015</v>
      </c>
      <c r="D27" s="1">
        <v>26.58</v>
      </c>
    </row>
    <row r="28" spans="1:4" x14ac:dyDescent="0.25">
      <c r="A28" s="1" t="s">
        <v>4</v>
      </c>
      <c r="B28" s="1" t="s">
        <v>5</v>
      </c>
      <c r="C28" s="1">
        <v>2016</v>
      </c>
      <c r="D28" s="1">
        <v>26.58</v>
      </c>
    </row>
    <row r="29" spans="1:4" x14ac:dyDescent="0.25">
      <c r="A29" s="1" t="s">
        <v>4</v>
      </c>
      <c r="B29" s="1" t="s">
        <v>5</v>
      </c>
      <c r="C29" s="1">
        <v>2017</v>
      </c>
      <c r="D29" s="1">
        <v>26.58</v>
      </c>
    </row>
    <row r="30" spans="1:4" x14ac:dyDescent="0.25">
      <c r="A30" s="1" t="s">
        <v>4</v>
      </c>
      <c r="B30" s="1" t="s">
        <v>5</v>
      </c>
      <c r="C30" s="1">
        <v>2018</v>
      </c>
      <c r="D30" s="1">
        <v>26.57</v>
      </c>
    </row>
    <row r="31" spans="1:4" x14ac:dyDescent="0.25">
      <c r="A31" s="1" t="s">
        <v>4</v>
      </c>
      <c r="B31" s="1" t="s">
        <v>5</v>
      </c>
      <c r="C31" s="1">
        <v>2019</v>
      </c>
      <c r="D31" s="1">
        <v>26.54</v>
      </c>
    </row>
    <row r="32" spans="1:4" x14ac:dyDescent="0.25">
      <c r="A32" s="1" t="s">
        <v>4</v>
      </c>
      <c r="B32" s="1" t="s">
        <v>5</v>
      </c>
      <c r="C32" s="1">
        <v>2020</v>
      </c>
      <c r="D32" s="1">
        <v>26</v>
      </c>
    </row>
    <row r="33" spans="1:4" x14ac:dyDescent="0.25">
      <c r="A33" s="1" t="s">
        <v>4</v>
      </c>
      <c r="B33" s="1" t="s">
        <v>5</v>
      </c>
      <c r="C33" s="1">
        <v>2021</v>
      </c>
      <c r="D33" s="1">
        <v>27.72</v>
      </c>
    </row>
    <row r="34" spans="1:4" x14ac:dyDescent="0.25">
      <c r="A34" s="1" t="s">
        <v>4</v>
      </c>
      <c r="B34" s="1" t="s">
        <v>5</v>
      </c>
      <c r="C34" s="1">
        <v>2022</v>
      </c>
      <c r="D34" s="1">
        <v>29.35</v>
      </c>
    </row>
    <row r="35" spans="1:4" x14ac:dyDescent="0.25">
      <c r="A35" s="1" t="s">
        <v>4</v>
      </c>
      <c r="B35" s="1" t="s">
        <v>5</v>
      </c>
      <c r="C35" s="1">
        <v>2023</v>
      </c>
      <c r="D35" s="1">
        <v>30.98</v>
      </c>
    </row>
    <row r="36" spans="1:4" x14ac:dyDescent="0.25">
      <c r="A36" s="1" t="s">
        <v>4</v>
      </c>
      <c r="B36" s="1" t="s">
        <v>5</v>
      </c>
      <c r="C36" s="1">
        <v>2024</v>
      </c>
      <c r="D36" s="1">
        <v>32.42</v>
      </c>
    </row>
    <row r="37" spans="1:4" x14ac:dyDescent="0.25">
      <c r="A37" s="1" t="s">
        <v>4</v>
      </c>
      <c r="B37" s="1" t="s">
        <v>5</v>
      </c>
      <c r="C37" s="1">
        <v>2025</v>
      </c>
      <c r="D37" s="1">
        <v>32.43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9254-D946-488D-9AA7-6D8B93D3D886}">
  <dimension ref="A1:F36"/>
  <sheetViews>
    <sheetView workbookViewId="0">
      <selection activeCell="H6" sqref="H6"/>
    </sheetView>
  </sheetViews>
  <sheetFormatPr defaultRowHeight="15" x14ac:dyDescent="0.25"/>
  <cols>
    <col min="1" max="1" width="13.7109375" style="1" customWidth="1"/>
    <col min="2" max="2" width="11.7109375" style="1" customWidth="1"/>
    <col min="3" max="3" width="10.7109375" style="1" customWidth="1"/>
    <col min="4" max="4" width="18" style="1" customWidth="1"/>
    <col min="5" max="5" width="13.85546875" style="1" customWidth="1"/>
    <col min="6" max="6" width="14.57031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</row>
    <row r="2" spans="1:6" x14ac:dyDescent="0.25">
      <c r="A2" s="1" t="s">
        <v>4</v>
      </c>
      <c r="B2" s="1" t="s">
        <v>5</v>
      </c>
      <c r="C2" s="1">
        <v>1991</v>
      </c>
      <c r="D2" s="1">
        <v>63.13</v>
      </c>
      <c r="E2" s="1">
        <v>14.58</v>
      </c>
      <c r="F2" s="1">
        <v>22.29</v>
      </c>
    </row>
    <row r="3" spans="1:6" x14ac:dyDescent="0.25">
      <c r="A3" s="1" t="s">
        <v>4</v>
      </c>
      <c r="B3" s="1" t="s">
        <v>5</v>
      </c>
      <c r="C3" s="1">
        <v>1992</v>
      </c>
      <c r="D3" s="1">
        <v>62.9</v>
      </c>
      <c r="E3" s="1">
        <v>14.66</v>
      </c>
      <c r="F3" s="1">
        <v>22.44</v>
      </c>
    </row>
    <row r="4" spans="1:6" x14ac:dyDescent="0.25">
      <c r="A4" s="1" t="s">
        <v>4</v>
      </c>
      <c r="B4" s="1" t="s">
        <v>5</v>
      </c>
      <c r="C4" s="1">
        <v>1993</v>
      </c>
      <c r="D4" s="1">
        <v>62.66</v>
      </c>
      <c r="E4" s="1">
        <v>14.76</v>
      </c>
      <c r="F4" s="1">
        <v>22.58</v>
      </c>
    </row>
    <row r="5" spans="1:6" x14ac:dyDescent="0.25">
      <c r="A5" s="1" t="s">
        <v>4</v>
      </c>
      <c r="B5" s="1" t="s">
        <v>5</v>
      </c>
      <c r="C5" s="1">
        <v>1994</v>
      </c>
      <c r="D5" s="1">
        <v>62.37</v>
      </c>
      <c r="E5" s="1">
        <v>14.85</v>
      </c>
      <c r="F5" s="1">
        <v>22.78</v>
      </c>
    </row>
    <row r="6" spans="1:6" x14ac:dyDescent="0.25">
      <c r="A6" s="1" t="s">
        <v>4</v>
      </c>
      <c r="B6" s="1" t="s">
        <v>5</v>
      </c>
      <c r="C6" s="1">
        <v>1995</v>
      </c>
      <c r="D6" s="1">
        <v>61.97</v>
      </c>
      <c r="E6" s="1">
        <v>15</v>
      </c>
      <c r="F6" s="1">
        <v>23.03</v>
      </c>
    </row>
    <row r="7" spans="1:6" x14ac:dyDescent="0.25">
      <c r="A7" s="1" t="s">
        <v>4</v>
      </c>
      <c r="B7" s="1" t="s">
        <v>5</v>
      </c>
      <c r="C7" s="1">
        <v>1996</v>
      </c>
      <c r="D7" s="1">
        <v>61.51</v>
      </c>
      <c r="E7" s="1">
        <v>15.27</v>
      </c>
      <c r="F7" s="1">
        <v>23.22</v>
      </c>
    </row>
    <row r="8" spans="1:6" x14ac:dyDescent="0.25">
      <c r="A8" s="1" t="s">
        <v>4</v>
      </c>
      <c r="B8" s="1" t="s">
        <v>5</v>
      </c>
      <c r="C8" s="1">
        <v>1997</v>
      </c>
      <c r="D8" s="1">
        <v>61.16</v>
      </c>
      <c r="E8" s="1">
        <v>15.47</v>
      </c>
      <c r="F8" s="1">
        <v>23.37</v>
      </c>
    </row>
    <row r="9" spans="1:6" x14ac:dyDescent="0.25">
      <c r="A9" s="1" t="s">
        <v>4</v>
      </c>
      <c r="B9" s="1" t="s">
        <v>5</v>
      </c>
      <c r="C9" s="1">
        <v>1998</v>
      </c>
      <c r="D9" s="1">
        <v>60.65</v>
      </c>
      <c r="E9" s="1">
        <v>15.79</v>
      </c>
      <c r="F9" s="1">
        <v>23.56</v>
      </c>
    </row>
    <row r="10" spans="1:6" x14ac:dyDescent="0.25">
      <c r="A10" s="1" t="s">
        <v>4</v>
      </c>
      <c r="B10" s="1" t="s">
        <v>5</v>
      </c>
      <c r="C10" s="1">
        <v>1999</v>
      </c>
      <c r="D10" s="1">
        <v>59.88</v>
      </c>
      <c r="E10" s="1">
        <v>16.309999999999999</v>
      </c>
      <c r="F10" s="1">
        <v>23.81</v>
      </c>
    </row>
    <row r="11" spans="1:6" x14ac:dyDescent="0.25">
      <c r="A11" s="1" t="s">
        <v>4</v>
      </c>
      <c r="B11" s="1" t="s">
        <v>5</v>
      </c>
      <c r="C11" s="1">
        <v>2000</v>
      </c>
      <c r="D11" s="1">
        <v>59.61</v>
      </c>
      <c r="E11" s="1">
        <v>16.34</v>
      </c>
      <c r="F11" s="1">
        <v>24.05</v>
      </c>
    </row>
    <row r="12" spans="1:6" x14ac:dyDescent="0.25">
      <c r="A12" s="1" t="s">
        <v>4</v>
      </c>
      <c r="B12" s="1" t="s">
        <v>5</v>
      </c>
      <c r="C12" s="1">
        <v>2001</v>
      </c>
      <c r="D12" s="1">
        <v>58.89</v>
      </c>
      <c r="E12" s="1">
        <v>16.75</v>
      </c>
      <c r="F12" s="1">
        <v>24.36</v>
      </c>
    </row>
    <row r="13" spans="1:6" x14ac:dyDescent="0.25">
      <c r="A13" s="1" t="s">
        <v>4</v>
      </c>
      <c r="B13" s="1" t="s">
        <v>5</v>
      </c>
      <c r="C13" s="1">
        <v>2002</v>
      </c>
      <c r="D13" s="1">
        <v>58.21</v>
      </c>
      <c r="E13" s="1">
        <v>17.059999999999999</v>
      </c>
      <c r="F13" s="1">
        <v>24.74</v>
      </c>
    </row>
    <row r="14" spans="1:6" x14ac:dyDescent="0.25">
      <c r="A14" s="1" t="s">
        <v>4</v>
      </c>
      <c r="B14" s="1" t="s">
        <v>5</v>
      </c>
      <c r="C14" s="1">
        <v>2003</v>
      </c>
      <c r="D14" s="1">
        <v>57.16</v>
      </c>
      <c r="E14" s="1">
        <v>17.690000000000001</v>
      </c>
      <c r="F14" s="1">
        <v>25.14</v>
      </c>
    </row>
    <row r="15" spans="1:6" x14ac:dyDescent="0.25">
      <c r="A15" s="1" t="s">
        <v>4</v>
      </c>
      <c r="B15" s="1" t="s">
        <v>5</v>
      </c>
      <c r="C15" s="1">
        <v>2004</v>
      </c>
      <c r="D15" s="1">
        <v>56</v>
      </c>
      <c r="E15" s="1">
        <v>18.420000000000002</v>
      </c>
      <c r="F15" s="1">
        <v>25.58</v>
      </c>
    </row>
    <row r="16" spans="1:6" x14ac:dyDescent="0.25">
      <c r="A16" s="1" t="s">
        <v>4</v>
      </c>
      <c r="B16" s="1" t="s">
        <v>5</v>
      </c>
      <c r="C16" s="1">
        <v>2005</v>
      </c>
      <c r="D16" s="1">
        <v>55.02</v>
      </c>
      <c r="E16" s="1">
        <v>19</v>
      </c>
      <c r="F16" s="1">
        <v>25.98</v>
      </c>
    </row>
    <row r="17" spans="1:6" x14ac:dyDescent="0.25">
      <c r="A17" s="1" t="s">
        <v>4</v>
      </c>
      <c r="B17" s="1" t="s">
        <v>5</v>
      </c>
      <c r="C17" s="1">
        <v>2006</v>
      </c>
      <c r="D17" s="1">
        <v>54.27</v>
      </c>
      <c r="E17" s="1">
        <v>19.52</v>
      </c>
      <c r="F17" s="1">
        <v>26.2</v>
      </c>
    </row>
    <row r="18" spans="1:6" x14ac:dyDescent="0.25">
      <c r="A18" s="1" t="s">
        <v>4</v>
      </c>
      <c r="B18" s="1" t="s">
        <v>5</v>
      </c>
      <c r="C18" s="1">
        <v>2007</v>
      </c>
      <c r="D18" s="1">
        <v>53.37</v>
      </c>
      <c r="E18" s="1">
        <v>20.32</v>
      </c>
      <c r="F18" s="1">
        <v>26.31</v>
      </c>
    </row>
    <row r="19" spans="1:6" x14ac:dyDescent="0.25">
      <c r="A19" s="1" t="s">
        <v>4</v>
      </c>
      <c r="B19" s="1" t="s">
        <v>5</v>
      </c>
      <c r="C19" s="1">
        <v>2008</v>
      </c>
      <c r="D19" s="1">
        <v>52.88</v>
      </c>
      <c r="E19" s="1">
        <v>20.75</v>
      </c>
      <c r="F19" s="1">
        <v>26.37</v>
      </c>
    </row>
    <row r="20" spans="1:6" x14ac:dyDescent="0.25">
      <c r="A20" s="1" t="s">
        <v>4</v>
      </c>
      <c r="B20" s="1" t="s">
        <v>5</v>
      </c>
      <c r="C20" s="1">
        <v>2009</v>
      </c>
      <c r="D20" s="1">
        <v>51.94</v>
      </c>
      <c r="E20" s="1">
        <v>21.56</v>
      </c>
      <c r="F20" s="1">
        <v>26.49</v>
      </c>
    </row>
    <row r="21" spans="1:6" x14ac:dyDescent="0.25">
      <c r="A21" s="1" t="s">
        <v>4</v>
      </c>
      <c r="B21" s="1" t="s">
        <v>5</v>
      </c>
      <c r="C21" s="1">
        <v>2010</v>
      </c>
      <c r="D21" s="1">
        <v>51.06</v>
      </c>
      <c r="E21" s="1">
        <v>22.38</v>
      </c>
      <c r="F21" s="1">
        <v>26.57</v>
      </c>
    </row>
    <row r="22" spans="1:6" x14ac:dyDescent="0.25">
      <c r="A22" s="1" t="s">
        <v>4</v>
      </c>
      <c r="B22" s="1" t="s">
        <v>5</v>
      </c>
      <c r="C22" s="1">
        <v>2011</v>
      </c>
      <c r="D22" s="1">
        <v>49.08</v>
      </c>
      <c r="E22" s="1">
        <v>23.55</v>
      </c>
      <c r="F22" s="1">
        <v>27.38</v>
      </c>
    </row>
    <row r="23" spans="1:6" x14ac:dyDescent="0.25">
      <c r="A23" s="1" t="s">
        <v>4</v>
      </c>
      <c r="B23" s="1" t="s">
        <v>5</v>
      </c>
      <c r="C23" s="1">
        <v>2012</v>
      </c>
      <c r="D23" s="1">
        <v>47.09</v>
      </c>
      <c r="E23" s="1">
        <v>24.69</v>
      </c>
      <c r="F23" s="1">
        <v>28.22</v>
      </c>
    </row>
    <row r="24" spans="1:6" x14ac:dyDescent="0.25">
      <c r="A24" s="1" t="s">
        <v>4</v>
      </c>
      <c r="B24" s="1" t="s">
        <v>5</v>
      </c>
      <c r="C24" s="1">
        <v>2013</v>
      </c>
      <c r="D24" s="1">
        <v>46.24</v>
      </c>
      <c r="E24" s="1">
        <v>24.75</v>
      </c>
      <c r="F24" s="1">
        <v>29</v>
      </c>
    </row>
    <row r="25" spans="1:6" x14ac:dyDescent="0.25">
      <c r="A25" s="1" t="s">
        <v>4</v>
      </c>
      <c r="B25" s="1" t="s">
        <v>5</v>
      </c>
      <c r="C25" s="1">
        <v>2014</v>
      </c>
      <c r="D25" s="1">
        <v>45.25</v>
      </c>
      <c r="E25" s="1">
        <v>24.9</v>
      </c>
      <c r="F25" s="1">
        <v>29.85</v>
      </c>
    </row>
    <row r="26" spans="1:6" x14ac:dyDescent="0.25">
      <c r="A26" s="1" t="s">
        <v>4</v>
      </c>
      <c r="B26" s="1" t="s">
        <v>5</v>
      </c>
      <c r="C26" s="1">
        <v>2015</v>
      </c>
      <c r="D26" s="1">
        <v>44.28</v>
      </c>
      <c r="E26" s="1">
        <v>24.95</v>
      </c>
      <c r="F26" s="1">
        <v>30.77</v>
      </c>
    </row>
    <row r="27" spans="1:6" x14ac:dyDescent="0.25">
      <c r="A27" s="1" t="s">
        <v>4</v>
      </c>
      <c r="B27" s="1" t="s">
        <v>5</v>
      </c>
      <c r="C27" s="1">
        <v>2016</v>
      </c>
      <c r="D27" s="1">
        <v>43.2</v>
      </c>
      <c r="E27" s="1">
        <v>25.19</v>
      </c>
      <c r="F27" s="1">
        <v>31.61</v>
      </c>
    </row>
    <row r="28" spans="1:6" x14ac:dyDescent="0.25">
      <c r="A28" s="1" t="s">
        <v>4</v>
      </c>
      <c r="B28" s="1" t="s">
        <v>5</v>
      </c>
      <c r="C28" s="1">
        <v>2017</v>
      </c>
      <c r="D28" s="1">
        <v>42.27</v>
      </c>
      <c r="E28" s="1">
        <v>25.27</v>
      </c>
      <c r="F28" s="1">
        <v>32.47</v>
      </c>
    </row>
    <row r="29" spans="1:6" x14ac:dyDescent="0.25">
      <c r="A29" s="1" t="s">
        <v>4</v>
      </c>
      <c r="B29" s="1" t="s">
        <v>5</v>
      </c>
      <c r="C29" s="1">
        <v>2018</v>
      </c>
      <c r="D29" s="1">
        <v>41.3</v>
      </c>
      <c r="E29" s="1">
        <v>25.37</v>
      </c>
      <c r="F29" s="1">
        <v>33.340000000000003</v>
      </c>
    </row>
    <row r="30" spans="1:6" x14ac:dyDescent="0.25">
      <c r="A30" s="1" t="s">
        <v>4</v>
      </c>
      <c r="B30" s="1" t="s">
        <v>5</v>
      </c>
      <c r="C30" s="1">
        <v>2019</v>
      </c>
      <c r="D30" s="1">
        <v>40.65</v>
      </c>
      <c r="E30" s="1">
        <v>25.25</v>
      </c>
      <c r="F30" s="1">
        <v>34.1</v>
      </c>
    </row>
    <row r="31" spans="1:6" x14ac:dyDescent="0.25">
      <c r="A31" s="1" t="s">
        <v>4</v>
      </c>
      <c r="B31" s="1" t="s">
        <v>5</v>
      </c>
      <c r="C31" s="1">
        <v>2020</v>
      </c>
      <c r="D31" s="1">
        <v>44.68</v>
      </c>
      <c r="E31" s="1">
        <v>23.7</v>
      </c>
      <c r="F31" s="1">
        <v>31.62</v>
      </c>
    </row>
    <row r="32" spans="1:6" x14ac:dyDescent="0.25">
      <c r="A32" s="1" t="s">
        <v>4</v>
      </c>
      <c r="B32" s="1" t="s">
        <v>5</v>
      </c>
      <c r="C32" s="1">
        <v>2021</v>
      </c>
      <c r="D32" s="1">
        <v>44.08</v>
      </c>
      <c r="E32" s="1">
        <v>24.47</v>
      </c>
      <c r="F32" s="1">
        <v>31.45</v>
      </c>
    </row>
    <row r="33" spans="1:6" x14ac:dyDescent="0.25">
      <c r="A33" s="1" t="s">
        <v>4</v>
      </c>
      <c r="B33" s="1" t="s">
        <v>5</v>
      </c>
      <c r="C33" s="1">
        <v>2022</v>
      </c>
      <c r="D33" s="1">
        <v>42.86</v>
      </c>
      <c r="E33" s="1">
        <v>26.12</v>
      </c>
      <c r="F33" s="1">
        <v>31.02</v>
      </c>
    </row>
    <row r="34" spans="1:6" x14ac:dyDescent="0.25">
      <c r="A34" s="1" t="s">
        <v>4</v>
      </c>
      <c r="B34" s="1" t="s">
        <v>5</v>
      </c>
      <c r="C34" s="1">
        <v>2023</v>
      </c>
      <c r="D34" s="1">
        <v>43.51</v>
      </c>
      <c r="E34" s="1">
        <v>25.03</v>
      </c>
      <c r="F34" s="1">
        <v>31.46</v>
      </c>
    </row>
    <row r="35" spans="1:6" x14ac:dyDescent="0.25">
      <c r="A35" s="1" t="s">
        <v>4</v>
      </c>
      <c r="B35" s="1" t="s">
        <v>5</v>
      </c>
      <c r="C35" s="1">
        <v>2024</v>
      </c>
      <c r="D35" s="1">
        <v>42.35</v>
      </c>
      <c r="E35" s="1">
        <v>25.37</v>
      </c>
      <c r="F35" s="1">
        <v>32.270000000000003</v>
      </c>
    </row>
    <row r="36" spans="1:6" x14ac:dyDescent="0.25">
      <c r="A36" s="1" t="s">
        <v>4</v>
      </c>
      <c r="B36" s="1" t="s">
        <v>5</v>
      </c>
      <c r="C36" s="1">
        <v>2025</v>
      </c>
      <c r="D36" s="1">
        <v>41.63</v>
      </c>
      <c r="E36" s="1">
        <v>25.82</v>
      </c>
      <c r="F36" s="1">
        <v>32.56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63246-6A77-4419-8279-8CAD510FA950}">
  <dimension ref="A1:D36"/>
  <sheetViews>
    <sheetView workbookViewId="0">
      <selection activeCell="D36" sqref="D36"/>
    </sheetView>
  </sheetViews>
  <sheetFormatPr defaultRowHeight="15" x14ac:dyDescent="0.25"/>
  <cols>
    <col min="1" max="1" width="8.42578125" bestFit="1" customWidth="1"/>
    <col min="2" max="2" width="7.85546875" bestFit="1" customWidth="1"/>
    <col min="3" max="3" width="7.28515625" bestFit="1" customWidth="1"/>
    <col min="4" max="4" width="3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19</v>
      </c>
    </row>
    <row r="2" spans="1:4" x14ac:dyDescent="0.25">
      <c r="A2" t="s">
        <v>4</v>
      </c>
      <c r="B2" t="s">
        <v>5</v>
      </c>
      <c r="C2">
        <v>1991</v>
      </c>
      <c r="D2">
        <v>-1.1100000000000001</v>
      </c>
    </row>
    <row r="3" spans="1:4" x14ac:dyDescent="0.25">
      <c r="A3" t="s">
        <v>4</v>
      </c>
      <c r="B3" t="s">
        <v>5</v>
      </c>
      <c r="C3">
        <v>1992</v>
      </c>
      <c r="D3">
        <v>3.26</v>
      </c>
    </row>
    <row r="4" spans="1:4" x14ac:dyDescent="0.25">
      <c r="A4" t="s">
        <v>4</v>
      </c>
      <c r="B4" t="s">
        <v>5</v>
      </c>
      <c r="C4">
        <v>1993</v>
      </c>
      <c r="D4">
        <v>2.57</v>
      </c>
    </row>
    <row r="5" spans="1:4" x14ac:dyDescent="0.25">
      <c r="A5" t="s">
        <v>4</v>
      </c>
      <c r="B5" t="s">
        <v>5</v>
      </c>
      <c r="C5">
        <v>1994</v>
      </c>
      <c r="D5">
        <v>4.5</v>
      </c>
    </row>
    <row r="6" spans="1:4" x14ac:dyDescent="0.25">
      <c r="A6" t="s">
        <v>4</v>
      </c>
      <c r="B6" t="s">
        <v>5</v>
      </c>
      <c r="C6">
        <v>1995</v>
      </c>
      <c r="D6">
        <v>5.43</v>
      </c>
    </row>
    <row r="7" spans="1:4" x14ac:dyDescent="0.25">
      <c r="A7" t="s">
        <v>4</v>
      </c>
      <c r="B7" t="s">
        <v>5</v>
      </c>
      <c r="C7">
        <v>1996</v>
      </c>
      <c r="D7">
        <v>5.42</v>
      </c>
    </row>
    <row r="8" spans="1:4" x14ac:dyDescent="0.25">
      <c r="A8" t="s">
        <v>4</v>
      </c>
      <c r="B8" t="s">
        <v>5</v>
      </c>
      <c r="C8">
        <v>1997</v>
      </c>
      <c r="D8">
        <v>2.02</v>
      </c>
    </row>
    <row r="9" spans="1:4" x14ac:dyDescent="0.25">
      <c r="A9" t="s">
        <v>4</v>
      </c>
      <c r="B9" t="s">
        <v>5</v>
      </c>
      <c r="C9">
        <v>1998</v>
      </c>
      <c r="D9">
        <v>4.1500000000000004</v>
      </c>
    </row>
    <row r="10" spans="1:4" x14ac:dyDescent="0.25">
      <c r="A10" t="s">
        <v>4</v>
      </c>
      <c r="B10" t="s">
        <v>5</v>
      </c>
      <c r="C10">
        <v>1999</v>
      </c>
      <c r="D10">
        <v>6.8</v>
      </c>
    </row>
    <row r="11" spans="1:4" x14ac:dyDescent="0.25">
      <c r="A11" t="s">
        <v>4</v>
      </c>
      <c r="B11" t="s">
        <v>5</v>
      </c>
      <c r="C11">
        <v>2000</v>
      </c>
      <c r="D11">
        <v>1.91</v>
      </c>
    </row>
    <row r="12" spans="1:4" x14ac:dyDescent="0.25">
      <c r="A12" t="s">
        <v>4</v>
      </c>
      <c r="B12" t="s">
        <v>5</v>
      </c>
      <c r="C12">
        <v>2001</v>
      </c>
      <c r="D12">
        <v>2.88</v>
      </c>
    </row>
    <row r="13" spans="1:4" x14ac:dyDescent="0.25">
      <c r="A13" t="s">
        <v>4</v>
      </c>
      <c r="B13" t="s">
        <v>5</v>
      </c>
      <c r="C13">
        <v>2002</v>
      </c>
      <c r="D13">
        <v>1.94</v>
      </c>
    </row>
    <row r="14" spans="1:4" x14ac:dyDescent="0.25">
      <c r="A14" t="s">
        <v>4</v>
      </c>
      <c r="B14" t="s">
        <v>5</v>
      </c>
      <c r="C14">
        <v>2003</v>
      </c>
      <c r="D14">
        <v>6.01</v>
      </c>
    </row>
    <row r="15" spans="1:4" x14ac:dyDescent="0.25">
      <c r="A15" t="s">
        <v>4</v>
      </c>
      <c r="B15" t="s">
        <v>5</v>
      </c>
      <c r="C15">
        <v>2004</v>
      </c>
      <c r="D15">
        <v>6.1</v>
      </c>
    </row>
    <row r="16" spans="1:4" x14ac:dyDescent="0.25">
      <c r="A16" t="s">
        <v>4</v>
      </c>
      <c r="B16" t="s">
        <v>5</v>
      </c>
      <c r="C16">
        <v>2005</v>
      </c>
      <c r="D16">
        <v>6.18</v>
      </c>
    </row>
    <row r="17" spans="1:4" x14ac:dyDescent="0.25">
      <c r="A17" t="s">
        <v>4</v>
      </c>
      <c r="B17" t="s">
        <v>5</v>
      </c>
      <c r="C17">
        <v>2006</v>
      </c>
      <c r="D17">
        <v>6.38</v>
      </c>
    </row>
    <row r="18" spans="1:4" x14ac:dyDescent="0.25">
      <c r="A18" t="s">
        <v>4</v>
      </c>
      <c r="B18" t="s">
        <v>5</v>
      </c>
      <c r="C18">
        <v>2007</v>
      </c>
      <c r="D18">
        <v>6.05</v>
      </c>
    </row>
    <row r="19" spans="1:4" x14ac:dyDescent="0.25">
      <c r="A19" t="s">
        <v>4</v>
      </c>
      <c r="B19" t="s">
        <v>5</v>
      </c>
      <c r="C19">
        <v>2008</v>
      </c>
      <c r="D19">
        <v>1.61</v>
      </c>
    </row>
    <row r="20" spans="1:4" x14ac:dyDescent="0.25">
      <c r="A20" t="s">
        <v>4</v>
      </c>
      <c r="B20" t="s">
        <v>5</v>
      </c>
      <c r="C20">
        <v>2009</v>
      </c>
      <c r="D20">
        <v>6.31</v>
      </c>
    </row>
    <row r="21" spans="1:4" x14ac:dyDescent="0.25">
      <c r="A21" t="s">
        <v>4</v>
      </c>
      <c r="B21" t="s">
        <v>5</v>
      </c>
      <c r="C21">
        <v>2010</v>
      </c>
      <c r="D21">
        <v>6.93</v>
      </c>
    </row>
    <row r="22" spans="1:4" x14ac:dyDescent="0.25">
      <c r="A22" t="s">
        <v>4</v>
      </c>
      <c r="B22" t="s">
        <v>5</v>
      </c>
      <c r="C22">
        <v>2011</v>
      </c>
      <c r="D22">
        <v>3.76</v>
      </c>
    </row>
    <row r="23" spans="1:4" x14ac:dyDescent="0.25">
      <c r="A23" t="s">
        <v>4</v>
      </c>
      <c r="B23" t="s">
        <v>5</v>
      </c>
      <c r="C23">
        <v>2012</v>
      </c>
      <c r="D23">
        <v>4.0199999999999996</v>
      </c>
    </row>
    <row r="24" spans="1:4" x14ac:dyDescent="0.25">
      <c r="A24" t="s">
        <v>4</v>
      </c>
      <c r="B24" t="s">
        <v>5</v>
      </c>
      <c r="C24">
        <v>2013</v>
      </c>
      <c r="D24">
        <v>4.9800000000000004</v>
      </c>
    </row>
    <row r="25" spans="1:4" x14ac:dyDescent="0.25">
      <c r="A25" t="s">
        <v>4</v>
      </c>
      <c r="B25" t="s">
        <v>5</v>
      </c>
      <c r="C25">
        <v>2014</v>
      </c>
      <c r="D25">
        <v>6.06</v>
      </c>
    </row>
    <row r="26" spans="1:4" x14ac:dyDescent="0.25">
      <c r="A26" t="s">
        <v>4</v>
      </c>
      <c r="B26" t="s">
        <v>5</v>
      </c>
      <c r="C26">
        <v>2015</v>
      </c>
      <c r="D26">
        <v>6.72</v>
      </c>
    </row>
    <row r="27" spans="1:4" x14ac:dyDescent="0.25">
      <c r="A27" t="s">
        <v>4</v>
      </c>
      <c r="B27" t="s">
        <v>5</v>
      </c>
      <c r="C27">
        <v>2016</v>
      </c>
      <c r="D27">
        <v>6.97</v>
      </c>
    </row>
    <row r="28" spans="1:4" x14ac:dyDescent="0.25">
      <c r="A28" t="s">
        <v>4</v>
      </c>
      <c r="B28" t="s">
        <v>5</v>
      </c>
      <c r="C28">
        <v>2017</v>
      </c>
      <c r="D28">
        <v>5.56</v>
      </c>
    </row>
    <row r="29" spans="1:4" x14ac:dyDescent="0.25">
      <c r="A29" t="s">
        <v>4</v>
      </c>
      <c r="B29" t="s">
        <v>5</v>
      </c>
      <c r="C29">
        <v>2018</v>
      </c>
      <c r="D29">
        <v>5.29</v>
      </c>
    </row>
    <row r="30" spans="1:4" x14ac:dyDescent="0.25">
      <c r="A30" t="s">
        <v>4</v>
      </c>
      <c r="B30" t="s">
        <v>5</v>
      </c>
      <c r="C30">
        <v>2019</v>
      </c>
      <c r="D30">
        <v>2.8</v>
      </c>
    </row>
    <row r="31" spans="1:4" x14ac:dyDescent="0.25">
      <c r="A31" t="s">
        <v>4</v>
      </c>
      <c r="B31" t="s">
        <v>5</v>
      </c>
      <c r="C31">
        <v>2020</v>
      </c>
      <c r="D31">
        <v>-6.69</v>
      </c>
    </row>
    <row r="32" spans="1:4" x14ac:dyDescent="0.25">
      <c r="A32" t="s">
        <v>4</v>
      </c>
      <c r="B32" t="s">
        <v>5</v>
      </c>
      <c r="C32">
        <v>2021</v>
      </c>
      <c r="D32">
        <v>8.7899999999999991</v>
      </c>
    </row>
    <row r="33" spans="1:4" x14ac:dyDescent="0.25">
      <c r="A33" t="s">
        <v>4</v>
      </c>
      <c r="B33" t="s">
        <v>5</v>
      </c>
      <c r="C33">
        <v>2022</v>
      </c>
      <c r="D33">
        <v>6.76</v>
      </c>
    </row>
    <row r="34" spans="1:4" x14ac:dyDescent="0.25">
      <c r="A34" t="s">
        <v>4</v>
      </c>
      <c r="B34" t="s">
        <v>5</v>
      </c>
      <c r="C34">
        <v>2023</v>
      </c>
      <c r="D34">
        <v>8.23</v>
      </c>
    </row>
    <row r="35" spans="1:4" x14ac:dyDescent="0.25">
      <c r="A35" t="s">
        <v>4</v>
      </c>
      <c r="B35" t="s">
        <v>5</v>
      </c>
      <c r="C35">
        <v>2024</v>
      </c>
      <c r="D35">
        <v>5.55</v>
      </c>
    </row>
    <row r="36" spans="1:4" x14ac:dyDescent="0.25">
      <c r="A36" t="s">
        <v>4</v>
      </c>
      <c r="B36" t="s">
        <v>5</v>
      </c>
      <c r="C36">
        <v>2025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97D9-6345-405E-A039-AFFD8A4FA942}">
  <dimension ref="A2:N39"/>
  <sheetViews>
    <sheetView tabSelected="1" topLeftCell="A25" zoomScale="90" workbookViewId="0">
      <selection activeCell="F11" sqref="F11"/>
    </sheetView>
  </sheetViews>
  <sheetFormatPr defaultRowHeight="15" x14ac:dyDescent="0.25"/>
  <cols>
    <col min="1" max="1" width="12" style="3" customWidth="1"/>
    <col min="2" max="2" width="25" style="2" customWidth="1"/>
    <col min="3" max="3" width="22.7109375" style="2" customWidth="1"/>
    <col min="4" max="4" width="15.28515625" style="2" customWidth="1"/>
    <col min="5" max="5" width="14.140625" style="2" customWidth="1"/>
    <col min="6" max="6" width="13.42578125" style="8" customWidth="1"/>
    <col min="7" max="7" width="11.42578125" style="8" customWidth="1"/>
    <col min="8" max="9" width="9.140625" style="8"/>
    <col min="10" max="10" width="40.5703125" style="2" customWidth="1"/>
    <col min="11" max="11" width="24.42578125" style="2" customWidth="1"/>
    <col min="12" max="12" width="16.42578125" customWidth="1"/>
    <col min="13" max="13" width="25.28515625" customWidth="1"/>
    <col min="14" max="14" width="24.85546875" style="1" customWidth="1"/>
    <col min="15" max="15" width="33.85546875" customWidth="1"/>
  </cols>
  <sheetData>
    <row r="2" spans="1:14" ht="15.75" thickBot="1" x14ac:dyDescent="0.3"/>
    <row r="3" spans="1:14" ht="18.75" customHeight="1" x14ac:dyDescent="0.25">
      <c r="A3" s="4" t="s">
        <v>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10</v>
      </c>
      <c r="H3" s="7" t="s">
        <v>11</v>
      </c>
      <c r="I3" s="7" t="s">
        <v>18</v>
      </c>
      <c r="J3" s="14" t="s">
        <v>20</v>
      </c>
      <c r="K3" s="17" t="s">
        <v>21</v>
      </c>
      <c r="L3" s="20" t="s">
        <v>22</v>
      </c>
      <c r="M3" s="21" t="s">
        <v>23</v>
      </c>
      <c r="N3" s="24" t="s">
        <v>24</v>
      </c>
    </row>
    <row r="4" spans="1:14" x14ac:dyDescent="0.25">
      <c r="A4" s="5">
        <v>1991</v>
      </c>
      <c r="B4" s="9">
        <f>_xlfn.XLOOKUP(A4,'Youth Unemployment Rate (World '!C2,'Youth Unemployment Rate (World '!D2)</f>
        <v>20.18</v>
      </c>
      <c r="C4" s="9">
        <f>_xlfn.XLOOKUP(A4,'Overall (Adult) Unemployment Ra'!C2,'Overall (Adult) Unemployment Ra'!D2)</f>
        <v>7.64</v>
      </c>
      <c r="D4" s="9">
        <f>_xlfn.XLOOKUP(A4,'Female LFPR (ILO,WB)'!C3,'Female LFPR (ILO,WB)'!D3)</f>
        <v>30.36</v>
      </c>
      <c r="E4" s="9">
        <f>_xlfn.XLOOKUP(A4,'Male LFPR (ILO,WB)'!C3,'Male LFPR (ILO,WB)'!D3)</f>
        <v>83.98</v>
      </c>
      <c r="F4" s="9">
        <f>_xlfn.XLOOKUP(A4,'Labour Force Participation Rate'!C3,'Labour Force Participation Rate'!D3)</f>
        <v>57.97</v>
      </c>
      <c r="G4" s="9" cm="1">
        <f t="array" ref="G4:I4">_xlfn.XLOOKUP(A4,'Employment by Sector (ILO,WB)'!C2,'Employment by Sector (ILO,WB)'!D2:F2)</f>
        <v>63.13</v>
      </c>
      <c r="H4" s="9">
        <v>14.58</v>
      </c>
      <c r="I4" s="9">
        <v>22.29</v>
      </c>
      <c r="J4" s="11">
        <f>_xlfn.XLOOKUP(A4,'GDP Per Capita Growth'!C2,'GDP Per Capita Growth'!D2)</f>
        <v>-1.1100000000000001</v>
      </c>
      <c r="K4" s="18">
        <f>B4/C4</f>
        <v>2.6413612565445028</v>
      </c>
      <c r="L4" s="15">
        <f>E4-D4</f>
        <v>53.620000000000005</v>
      </c>
      <c r="M4" s="16">
        <f>(B4+K4)/2</f>
        <v>11.410680628272251</v>
      </c>
      <c r="N4" s="25">
        <f>(B4+C4+K4)/3</f>
        <v>10.153787085514834</v>
      </c>
    </row>
    <row r="5" spans="1:14" x14ac:dyDescent="0.25">
      <c r="A5" s="5">
        <v>1992</v>
      </c>
      <c r="B5" s="9">
        <f>_xlfn.XLOOKUP(A5,'Youth Unemployment Rate (World '!C3,'Youth Unemployment Rate (World '!D3)</f>
        <v>20.260000000000002</v>
      </c>
      <c r="C5" s="9">
        <f>_xlfn.XLOOKUP(A5,'Overall (Adult) Unemployment Ra'!C3,'Overall (Adult) Unemployment Ra'!D3)</f>
        <v>7.65</v>
      </c>
      <c r="D5" s="9">
        <f>_xlfn.XLOOKUP(A5,'Female LFPR (ILO,WB)'!C4,'Female LFPR (ILO,WB)'!D4)</f>
        <v>30.48</v>
      </c>
      <c r="E5" s="9">
        <f>_xlfn.XLOOKUP(A5,'Male LFPR (ILO,WB)'!C4,'Male LFPR (ILO,WB)'!D4)</f>
        <v>83.94</v>
      </c>
      <c r="F5" s="9">
        <f>_xlfn.XLOOKUP(A5,'Labour Force Participation Rate'!C4,'Labour Force Participation Rate'!D4)</f>
        <v>58</v>
      </c>
      <c r="G5" s="9" cm="1">
        <f t="array" ref="G5:I5">_xlfn.XLOOKUP(A5,'Employment by Sector (ILO,WB)'!C3,'Employment by Sector (ILO,WB)'!D3:F3)</f>
        <v>62.9</v>
      </c>
      <c r="H5" s="9">
        <v>14.66</v>
      </c>
      <c r="I5" s="9">
        <v>22.44</v>
      </c>
      <c r="J5" s="11">
        <f>_xlfn.XLOOKUP(A5,'GDP Per Capita Growth'!C3,'GDP Per Capita Growth'!D3)</f>
        <v>3.26</v>
      </c>
      <c r="K5" s="18">
        <f t="shared" ref="K5:K38" si="0">B5/C5</f>
        <v>2.6483660130718953</v>
      </c>
      <c r="L5" s="15">
        <f t="shared" ref="L5:L38" si="1">E5-D5</f>
        <v>53.459999999999994</v>
      </c>
      <c r="M5" s="16">
        <f t="shared" ref="M5:M38" si="2">(B5+K5)/2</f>
        <v>11.454183006535949</v>
      </c>
      <c r="N5" s="25">
        <f t="shared" ref="N5:N38" si="3">(B5+C5+K5)/3</f>
        <v>10.1861220043573</v>
      </c>
    </row>
    <row r="6" spans="1:14" x14ac:dyDescent="0.25">
      <c r="A6" s="5">
        <v>1993</v>
      </c>
      <c r="B6" s="9">
        <f>_xlfn.XLOOKUP(A6,'Youth Unemployment Rate (World '!C4,'Youth Unemployment Rate (World '!D4)</f>
        <v>20.350000000000001</v>
      </c>
      <c r="C6" s="9">
        <f>_xlfn.XLOOKUP(A6,'Overall (Adult) Unemployment Ra'!C4,'Overall (Adult) Unemployment Ra'!D4)</f>
        <v>7.66</v>
      </c>
      <c r="D6" s="9">
        <f>_xlfn.XLOOKUP(A6,'Female LFPR (ILO,WB)'!C5,'Female LFPR (ILO,WB)'!D5)</f>
        <v>30.6</v>
      </c>
      <c r="E6" s="9">
        <f>_xlfn.XLOOKUP(A6,'Male LFPR (ILO,WB)'!C5,'Male LFPR (ILO,WB)'!D5)</f>
        <v>83.9</v>
      </c>
      <c r="F6" s="9">
        <f>_xlfn.XLOOKUP(A6,'Labour Force Participation Rate'!C5,'Labour Force Participation Rate'!D5)</f>
        <v>58.03</v>
      </c>
      <c r="G6" s="9" cm="1">
        <f t="array" ref="G6:I6">_xlfn.XLOOKUP(A6,'Employment by Sector (ILO,WB)'!C4,'Employment by Sector (ILO,WB)'!D4:F4)</f>
        <v>62.66</v>
      </c>
      <c r="H6" s="9">
        <v>14.76</v>
      </c>
      <c r="I6" s="9">
        <v>22.58</v>
      </c>
      <c r="J6" s="11">
        <f>_xlfn.XLOOKUP(A6,'GDP Per Capita Growth'!C4,'GDP Per Capita Growth'!D4)</f>
        <v>2.57</v>
      </c>
      <c r="K6" s="18">
        <f t="shared" si="0"/>
        <v>2.6566579634464755</v>
      </c>
      <c r="L6" s="15">
        <f t="shared" si="1"/>
        <v>53.300000000000004</v>
      </c>
      <c r="M6" s="16">
        <f t="shared" si="2"/>
        <v>11.503328981723239</v>
      </c>
      <c r="N6" s="25">
        <f t="shared" si="3"/>
        <v>10.222219321148826</v>
      </c>
    </row>
    <row r="7" spans="1:14" x14ac:dyDescent="0.25">
      <c r="A7" s="5">
        <v>1994</v>
      </c>
      <c r="B7" s="9">
        <f>_xlfn.XLOOKUP(A7,'Youth Unemployment Rate (World '!C5,'Youth Unemployment Rate (World '!D5)</f>
        <v>20.27</v>
      </c>
      <c r="C7" s="9">
        <f>_xlfn.XLOOKUP(A7,'Overall (Adult) Unemployment Ra'!C5,'Overall (Adult) Unemployment Ra'!D5)</f>
        <v>7.59</v>
      </c>
      <c r="D7" s="9">
        <f>_xlfn.XLOOKUP(A7,'Female LFPR (ILO,WB)'!C6,'Female LFPR (ILO,WB)'!D6)</f>
        <v>30.74</v>
      </c>
      <c r="E7" s="9">
        <f>_xlfn.XLOOKUP(A7,'Male LFPR (ILO,WB)'!C6,'Male LFPR (ILO,WB)'!D6)</f>
        <v>83.84</v>
      </c>
      <c r="F7" s="9">
        <f>_xlfn.XLOOKUP(A7,'Labour Force Participation Rate'!C6,'Labour Force Participation Rate'!D6)</f>
        <v>58.06</v>
      </c>
      <c r="G7" s="9" cm="1">
        <f t="array" ref="G7:I7">_xlfn.XLOOKUP(A7,'Employment by Sector (ILO,WB)'!C5,'Employment by Sector (ILO,WB)'!D5:F5)</f>
        <v>62.37</v>
      </c>
      <c r="H7" s="9">
        <v>14.85</v>
      </c>
      <c r="I7" s="9">
        <v>22.78</v>
      </c>
      <c r="J7" s="11">
        <f>_xlfn.XLOOKUP(A7,'GDP Per Capita Growth'!C5,'GDP Per Capita Growth'!D5)</f>
        <v>4.5</v>
      </c>
      <c r="K7" s="18">
        <f t="shared" si="0"/>
        <v>2.670619235836627</v>
      </c>
      <c r="L7" s="15">
        <f t="shared" si="1"/>
        <v>53.100000000000009</v>
      </c>
      <c r="M7" s="16">
        <f t="shared" si="2"/>
        <v>11.470309617918314</v>
      </c>
      <c r="N7" s="25">
        <f t="shared" si="3"/>
        <v>10.176873078612209</v>
      </c>
    </row>
    <row r="8" spans="1:14" x14ac:dyDescent="0.25">
      <c r="A8" s="5">
        <v>1995</v>
      </c>
      <c r="B8" s="9">
        <f>_xlfn.XLOOKUP(A8,'Youth Unemployment Rate (World '!C6,'Youth Unemployment Rate (World '!D6)</f>
        <v>20.2</v>
      </c>
      <c r="C8" s="9">
        <f>_xlfn.XLOOKUP(A8,'Overall (Adult) Unemployment Ra'!C6,'Overall (Adult) Unemployment Ra'!D6)</f>
        <v>7.57</v>
      </c>
      <c r="D8" s="9">
        <f>_xlfn.XLOOKUP(A8,'Female LFPR (ILO,WB)'!C7,'Female LFPR (ILO,WB)'!D7)</f>
        <v>31.33</v>
      </c>
      <c r="E8" s="9">
        <f>_xlfn.XLOOKUP(A8,'Male LFPR (ILO,WB)'!C7,'Male LFPR (ILO,WB)'!D7)</f>
        <v>83.93</v>
      </c>
      <c r="F8" s="9">
        <f>_xlfn.XLOOKUP(A8,'Labour Force Participation Rate'!C7,'Labour Force Participation Rate'!D7)</f>
        <v>58.4</v>
      </c>
      <c r="G8" s="9" cm="1">
        <f t="array" ref="G8:I8">_xlfn.XLOOKUP(A8,'Employment by Sector (ILO,WB)'!C6,'Employment by Sector (ILO,WB)'!D6:F6)</f>
        <v>61.97</v>
      </c>
      <c r="H8" s="9">
        <v>15</v>
      </c>
      <c r="I8" s="9">
        <v>23.03</v>
      </c>
      <c r="J8" s="11">
        <f>_xlfn.XLOOKUP(A8,'GDP Per Capita Growth'!C6,'GDP Per Capita Growth'!D6)</f>
        <v>5.43</v>
      </c>
      <c r="K8" s="18">
        <f t="shared" si="0"/>
        <v>2.6684280052840155</v>
      </c>
      <c r="L8" s="15">
        <f t="shared" si="1"/>
        <v>52.600000000000009</v>
      </c>
      <c r="M8" s="16">
        <f t="shared" si="2"/>
        <v>11.434214002642008</v>
      </c>
      <c r="N8" s="25">
        <f t="shared" si="3"/>
        <v>10.146142668428006</v>
      </c>
    </row>
    <row r="9" spans="1:14" x14ac:dyDescent="0.25">
      <c r="A9" s="5">
        <v>1996</v>
      </c>
      <c r="B9" s="9">
        <f>_xlfn.XLOOKUP(A9,'Youth Unemployment Rate (World '!C7,'Youth Unemployment Rate (World '!D7)</f>
        <v>20.12</v>
      </c>
      <c r="C9" s="9">
        <f>_xlfn.XLOOKUP(A9,'Overall (Adult) Unemployment Ra'!C7,'Overall (Adult) Unemployment Ra'!D7)</f>
        <v>7.54</v>
      </c>
      <c r="D9" s="9">
        <f>_xlfn.XLOOKUP(A9,'Female LFPR (ILO,WB)'!C8,'Female LFPR (ILO,WB)'!D8)</f>
        <v>31.93</v>
      </c>
      <c r="E9" s="9">
        <f>_xlfn.XLOOKUP(A9,'Male LFPR (ILO,WB)'!C8,'Male LFPR (ILO,WB)'!D8)</f>
        <v>84.01</v>
      </c>
      <c r="F9" s="9">
        <f>_xlfn.XLOOKUP(A9,'Labour Force Participation Rate'!C8,'Labour Force Participation Rate'!D8)</f>
        <v>58.73</v>
      </c>
      <c r="G9" s="9" cm="1">
        <f t="array" ref="G9:I9">_xlfn.XLOOKUP(A9,'Employment by Sector (ILO,WB)'!C7,'Employment by Sector (ILO,WB)'!D7:F7)</f>
        <v>61.51</v>
      </c>
      <c r="H9" s="9">
        <v>15.27</v>
      </c>
      <c r="I9" s="9">
        <v>23.22</v>
      </c>
      <c r="J9" s="11">
        <f>_xlfn.XLOOKUP(A9,'GDP Per Capita Growth'!C7,'GDP Per Capita Growth'!D7)</f>
        <v>5.42</v>
      </c>
      <c r="K9" s="18">
        <f t="shared" si="0"/>
        <v>2.6684350132625996</v>
      </c>
      <c r="L9" s="15">
        <f t="shared" si="1"/>
        <v>52.080000000000005</v>
      </c>
      <c r="M9" s="16">
        <f t="shared" si="2"/>
        <v>11.3942175066313</v>
      </c>
      <c r="N9" s="25">
        <f t="shared" si="3"/>
        <v>10.109478337754199</v>
      </c>
    </row>
    <row r="10" spans="1:14" x14ac:dyDescent="0.25">
      <c r="A10" s="5">
        <v>1997</v>
      </c>
      <c r="B10" s="9">
        <f>_xlfn.XLOOKUP(A10,'Youth Unemployment Rate (World '!C8,'Youth Unemployment Rate (World '!D8)</f>
        <v>20.190000000000001</v>
      </c>
      <c r="C10" s="9">
        <f>_xlfn.XLOOKUP(A10,'Overall (Adult) Unemployment Ra'!C8,'Overall (Adult) Unemployment Ra'!D8)</f>
        <v>7.57</v>
      </c>
      <c r="D10" s="9">
        <f>_xlfn.XLOOKUP(A10,'Female LFPR (ILO,WB)'!C9,'Female LFPR (ILO,WB)'!D9)</f>
        <v>32.54</v>
      </c>
      <c r="E10" s="9">
        <f>_xlfn.XLOOKUP(A10,'Male LFPR (ILO,WB)'!C9,'Male LFPR (ILO,WB)'!D9)</f>
        <v>84.08</v>
      </c>
      <c r="F10" s="9">
        <f>_xlfn.XLOOKUP(A10,'Labour Force Participation Rate'!C9,'Labour Force Participation Rate'!D9)</f>
        <v>59.07</v>
      </c>
      <c r="G10" s="9" cm="1">
        <f t="array" ref="G10:I10">_xlfn.XLOOKUP(A10,'Employment by Sector (ILO,WB)'!C8,'Employment by Sector (ILO,WB)'!D8:F8)</f>
        <v>61.16</v>
      </c>
      <c r="H10" s="9">
        <v>15.47</v>
      </c>
      <c r="I10" s="9">
        <v>23.37</v>
      </c>
      <c r="J10" s="11">
        <f>_xlfn.XLOOKUP(A10,'GDP Per Capita Growth'!C8,'GDP Per Capita Growth'!D8)</f>
        <v>2.02</v>
      </c>
      <c r="K10" s="18">
        <f t="shared" si="0"/>
        <v>2.6671070013210039</v>
      </c>
      <c r="L10" s="15">
        <f t="shared" si="1"/>
        <v>51.54</v>
      </c>
      <c r="M10" s="16">
        <f t="shared" si="2"/>
        <v>11.428553500660502</v>
      </c>
      <c r="N10" s="25">
        <f t="shared" si="3"/>
        <v>10.142369000440334</v>
      </c>
    </row>
    <row r="11" spans="1:14" x14ac:dyDescent="0.25">
      <c r="A11" s="5">
        <v>1998</v>
      </c>
      <c r="B11" s="9">
        <f>_xlfn.XLOOKUP(A11,'Youth Unemployment Rate (World '!C9,'Youth Unemployment Rate (World '!D9)</f>
        <v>20.22</v>
      </c>
      <c r="C11" s="9">
        <f>_xlfn.XLOOKUP(A11,'Overall (Adult) Unemployment Ra'!C9,'Overall (Adult) Unemployment Ra'!D9)</f>
        <v>7.6</v>
      </c>
      <c r="D11" s="9">
        <f>_xlfn.XLOOKUP(A11,'Female LFPR (ILO,WB)'!C10,'Female LFPR (ILO,WB)'!D10)</f>
        <v>33.159999999999997</v>
      </c>
      <c r="E11" s="9">
        <f>_xlfn.XLOOKUP(A11,'Male LFPR (ILO,WB)'!C10,'Male LFPR (ILO,WB)'!D10)</f>
        <v>84.16</v>
      </c>
      <c r="F11" s="9">
        <f>_xlfn.XLOOKUP(A11,'Labour Force Participation Rate'!C10,'Labour Force Participation Rate'!D10)</f>
        <v>59.4</v>
      </c>
      <c r="G11" s="9" cm="1">
        <f t="array" ref="G11:I11">_xlfn.XLOOKUP(A11,'Employment by Sector (ILO,WB)'!C9,'Employment by Sector (ILO,WB)'!D9:F9)</f>
        <v>60.65</v>
      </c>
      <c r="H11" s="9">
        <v>15.79</v>
      </c>
      <c r="I11" s="9">
        <v>23.56</v>
      </c>
      <c r="J11" s="11">
        <f>_xlfn.XLOOKUP(A11,'GDP Per Capita Growth'!C9,'GDP Per Capita Growth'!D9)</f>
        <v>4.1500000000000004</v>
      </c>
      <c r="K11" s="18">
        <f t="shared" si="0"/>
        <v>2.6605263157894736</v>
      </c>
      <c r="L11" s="15">
        <f t="shared" si="1"/>
        <v>51</v>
      </c>
      <c r="M11" s="16">
        <f t="shared" si="2"/>
        <v>11.440263157894737</v>
      </c>
      <c r="N11" s="25">
        <f t="shared" si="3"/>
        <v>10.160175438596491</v>
      </c>
    </row>
    <row r="12" spans="1:14" x14ac:dyDescent="0.25">
      <c r="A12" s="5">
        <v>1999</v>
      </c>
      <c r="B12" s="9">
        <f>_xlfn.XLOOKUP(A12,'Youth Unemployment Rate (World '!C10,'Youth Unemployment Rate (World '!D10)</f>
        <v>20.190000000000001</v>
      </c>
      <c r="C12" s="9">
        <f>_xlfn.XLOOKUP(A12,'Overall (Adult) Unemployment Ra'!C10,'Overall (Adult) Unemployment Ra'!D10)</f>
        <v>7.58</v>
      </c>
      <c r="D12" s="9">
        <f>_xlfn.XLOOKUP(A12,'Female LFPR (ILO,WB)'!C11,'Female LFPR (ILO,WB)'!D11)</f>
        <v>33.78</v>
      </c>
      <c r="E12" s="9">
        <f>_xlfn.XLOOKUP(A12,'Male LFPR (ILO,WB)'!C11,'Male LFPR (ILO,WB)'!D11)</f>
        <v>84.23</v>
      </c>
      <c r="F12" s="9">
        <f>_xlfn.XLOOKUP(A12,'Labour Force Participation Rate'!C11,'Labour Force Participation Rate'!D11)</f>
        <v>59.74</v>
      </c>
      <c r="G12" s="9" cm="1">
        <f t="array" ref="G12:I12">_xlfn.XLOOKUP(A12,'Employment by Sector (ILO,WB)'!C10,'Employment by Sector (ILO,WB)'!D10:F10)</f>
        <v>59.88</v>
      </c>
      <c r="H12" s="9">
        <v>16.309999999999999</v>
      </c>
      <c r="I12" s="9">
        <v>23.81</v>
      </c>
      <c r="J12" s="11">
        <f>_xlfn.XLOOKUP(A12,'GDP Per Capita Growth'!C10,'GDP Per Capita Growth'!D10)</f>
        <v>6.8</v>
      </c>
      <c r="K12" s="18">
        <f t="shared" si="0"/>
        <v>2.6635883905013196</v>
      </c>
      <c r="L12" s="15">
        <f t="shared" si="1"/>
        <v>50.45</v>
      </c>
      <c r="M12" s="16">
        <f t="shared" si="2"/>
        <v>11.426794195250661</v>
      </c>
      <c r="N12" s="25">
        <f t="shared" si="3"/>
        <v>10.144529463500442</v>
      </c>
    </row>
    <row r="13" spans="1:14" x14ac:dyDescent="0.25">
      <c r="A13" s="5">
        <v>2000</v>
      </c>
      <c r="B13" s="9">
        <f>_xlfn.XLOOKUP(A13,'Youth Unemployment Rate (World '!C11,'Youth Unemployment Rate (World '!D11)</f>
        <v>20.2</v>
      </c>
      <c r="C13" s="9">
        <f>_xlfn.XLOOKUP(A13,'Overall (Adult) Unemployment Ra'!C11,'Overall (Adult) Unemployment Ra'!D11)</f>
        <v>7.59</v>
      </c>
      <c r="D13" s="9">
        <f>_xlfn.XLOOKUP(A13,'Female LFPR (ILO,WB)'!C12,'Female LFPR (ILO,WB)'!D12)</f>
        <v>34.4</v>
      </c>
      <c r="E13" s="9">
        <f>_xlfn.XLOOKUP(A13,'Male LFPR (ILO,WB)'!C12,'Male LFPR (ILO,WB)'!D12)</f>
        <v>84.3</v>
      </c>
      <c r="F13" s="9">
        <f>_xlfn.XLOOKUP(A13,'Labour Force Participation Rate'!C12,'Labour Force Participation Rate'!D12)</f>
        <v>60.08</v>
      </c>
      <c r="G13" s="9" cm="1">
        <f t="array" ref="G13:I13">_xlfn.XLOOKUP(A13,'Employment by Sector (ILO,WB)'!C11,'Employment by Sector (ILO,WB)'!D11:F11)</f>
        <v>59.61</v>
      </c>
      <c r="H13" s="9">
        <v>16.34</v>
      </c>
      <c r="I13" s="9">
        <v>24.05</v>
      </c>
      <c r="J13" s="11">
        <f>_xlfn.XLOOKUP(A13,'GDP Per Capita Growth'!C11,'GDP Per Capita Growth'!D11)</f>
        <v>1.91</v>
      </c>
      <c r="K13" s="18">
        <f t="shared" si="0"/>
        <v>2.6613965744400527</v>
      </c>
      <c r="L13" s="15">
        <f t="shared" si="1"/>
        <v>49.9</v>
      </c>
      <c r="M13" s="16">
        <f t="shared" si="2"/>
        <v>11.430698287220025</v>
      </c>
      <c r="N13" s="25">
        <f t="shared" si="3"/>
        <v>10.150465524813351</v>
      </c>
    </row>
    <row r="14" spans="1:14" x14ac:dyDescent="0.25">
      <c r="A14" s="5">
        <v>2001</v>
      </c>
      <c r="B14" s="9">
        <f>_xlfn.XLOOKUP(A14,'Youth Unemployment Rate (World '!C12,'Youth Unemployment Rate (World '!D12)</f>
        <v>20.420000000000002</v>
      </c>
      <c r="C14" s="9">
        <f>_xlfn.XLOOKUP(A14,'Overall (Adult) Unemployment Ra'!C12,'Overall (Adult) Unemployment Ra'!D12)</f>
        <v>7.61</v>
      </c>
      <c r="D14" s="9">
        <f>_xlfn.XLOOKUP(A14,'Female LFPR (ILO,WB)'!C13,'Female LFPR (ILO,WB)'!D13)</f>
        <v>34.479999999999997</v>
      </c>
      <c r="E14" s="9">
        <f>_xlfn.XLOOKUP(A14,'Male LFPR (ILO,WB)'!C13,'Male LFPR (ILO,WB)'!D13)</f>
        <v>83.92</v>
      </c>
      <c r="F14" s="9">
        <f>_xlfn.XLOOKUP(A14,'Labour Force Participation Rate'!C13,'Labour Force Participation Rate'!D13)</f>
        <v>59.92</v>
      </c>
      <c r="G14" s="9" cm="1">
        <f t="array" ref="G14:I14">_xlfn.XLOOKUP(A14,'Employment by Sector (ILO,WB)'!C12,'Employment by Sector (ILO,WB)'!D12:F12)</f>
        <v>58.89</v>
      </c>
      <c r="H14" s="9">
        <v>16.75</v>
      </c>
      <c r="I14" s="9">
        <v>24.36</v>
      </c>
      <c r="J14" s="11">
        <f>_xlfn.XLOOKUP(A14,'GDP Per Capita Growth'!C12,'GDP Per Capita Growth'!D12)</f>
        <v>2.88</v>
      </c>
      <c r="K14" s="18">
        <f t="shared" si="0"/>
        <v>2.6833114323258873</v>
      </c>
      <c r="L14" s="15">
        <f t="shared" si="1"/>
        <v>49.440000000000005</v>
      </c>
      <c r="M14" s="16">
        <f t="shared" si="2"/>
        <v>11.551655716162944</v>
      </c>
      <c r="N14" s="25">
        <f t="shared" si="3"/>
        <v>10.237770477441963</v>
      </c>
    </row>
    <row r="15" spans="1:14" x14ac:dyDescent="0.25">
      <c r="A15" s="5">
        <v>2002</v>
      </c>
      <c r="B15" s="9">
        <f>_xlfn.XLOOKUP(A15,'Youth Unemployment Rate (World '!C13,'Youth Unemployment Rate (World '!D13)</f>
        <v>20.76</v>
      </c>
      <c r="C15" s="9">
        <f>_xlfn.XLOOKUP(A15,'Overall (Adult) Unemployment Ra'!C13,'Overall (Adult) Unemployment Ra'!D13)</f>
        <v>7.68</v>
      </c>
      <c r="D15" s="9">
        <f>_xlfn.XLOOKUP(A15,'Female LFPR (ILO,WB)'!C14,'Female LFPR (ILO,WB)'!D14)</f>
        <v>34.57</v>
      </c>
      <c r="E15" s="9">
        <f>_xlfn.XLOOKUP(A15,'Male LFPR (ILO,WB)'!C14,'Male LFPR (ILO,WB)'!D14)</f>
        <v>83.53</v>
      </c>
      <c r="F15" s="9">
        <f>_xlfn.XLOOKUP(A15,'Labour Force Participation Rate'!C14,'Labour Force Participation Rate'!D14)</f>
        <v>59.77</v>
      </c>
      <c r="G15" s="9" cm="1">
        <f t="array" ref="G15:I15">_xlfn.XLOOKUP(A15,'Employment by Sector (ILO,WB)'!C13,'Employment by Sector (ILO,WB)'!D13:F13)</f>
        <v>58.21</v>
      </c>
      <c r="H15" s="9">
        <v>17.059999999999999</v>
      </c>
      <c r="I15" s="9">
        <v>24.74</v>
      </c>
      <c r="J15" s="11">
        <f>_xlfn.XLOOKUP(A15,'GDP Per Capita Growth'!C13,'GDP Per Capita Growth'!D13)</f>
        <v>1.94</v>
      </c>
      <c r="K15" s="18">
        <f t="shared" si="0"/>
        <v>2.7031250000000004</v>
      </c>
      <c r="L15" s="15">
        <f t="shared" si="1"/>
        <v>48.96</v>
      </c>
      <c r="M15" s="16">
        <f t="shared" si="2"/>
        <v>11.731562500000001</v>
      </c>
      <c r="N15" s="25">
        <f t="shared" si="3"/>
        <v>10.381041666666667</v>
      </c>
    </row>
    <row r="16" spans="1:14" x14ac:dyDescent="0.25">
      <c r="A16" s="5">
        <v>2003</v>
      </c>
      <c r="B16" s="9">
        <f>_xlfn.XLOOKUP(A16,'Youth Unemployment Rate (World '!C14,'Youth Unemployment Rate (World '!D14)</f>
        <v>20.86</v>
      </c>
      <c r="C16" s="9">
        <f>_xlfn.XLOOKUP(A16,'Overall (Adult) Unemployment Ra'!C14,'Overall (Adult) Unemployment Ra'!D14)</f>
        <v>7.63</v>
      </c>
      <c r="D16" s="9">
        <f>_xlfn.XLOOKUP(A16,'Female LFPR (ILO,WB)'!C15,'Female LFPR (ILO,WB)'!D15)</f>
        <v>34.659999999999997</v>
      </c>
      <c r="E16" s="9">
        <f>_xlfn.XLOOKUP(A16,'Male LFPR (ILO,WB)'!C15,'Male LFPR (ILO,WB)'!D15)</f>
        <v>83.14</v>
      </c>
      <c r="F16" s="9">
        <f>_xlfn.XLOOKUP(A16,'Labour Force Participation Rate'!C15,'Labour Force Participation Rate'!D15)</f>
        <v>59.61</v>
      </c>
      <c r="G16" s="9" cm="1">
        <f t="array" ref="G16:I16">_xlfn.XLOOKUP(A16,'Employment by Sector (ILO,WB)'!C14,'Employment by Sector (ILO,WB)'!D14:F14)</f>
        <v>57.16</v>
      </c>
      <c r="H16" s="9">
        <v>17.690000000000001</v>
      </c>
      <c r="I16" s="9">
        <v>25.14</v>
      </c>
      <c r="J16" s="11">
        <f>_xlfn.XLOOKUP(A16,'GDP Per Capita Growth'!C14,'GDP Per Capita Growth'!D14)</f>
        <v>6.01</v>
      </c>
      <c r="K16" s="18">
        <f t="shared" si="0"/>
        <v>2.7339449541284404</v>
      </c>
      <c r="L16" s="15">
        <f t="shared" si="1"/>
        <v>48.480000000000004</v>
      </c>
      <c r="M16" s="16">
        <f t="shared" si="2"/>
        <v>11.796972477064219</v>
      </c>
      <c r="N16" s="25">
        <f t="shared" si="3"/>
        <v>10.407981651376145</v>
      </c>
    </row>
    <row r="17" spans="1:14" x14ac:dyDescent="0.25">
      <c r="A17" s="5">
        <v>2004</v>
      </c>
      <c r="B17" s="9">
        <f>_xlfn.XLOOKUP(A17,'Youth Unemployment Rate (World '!C15,'Youth Unemployment Rate (World '!D15)</f>
        <v>20.99</v>
      </c>
      <c r="C17" s="9">
        <f>_xlfn.XLOOKUP(A17,'Overall (Adult) Unemployment Ra'!C15,'Overall (Adult) Unemployment Ra'!D15)</f>
        <v>7.6</v>
      </c>
      <c r="D17" s="9">
        <f>_xlfn.XLOOKUP(A17,'Female LFPR (ILO,WB)'!C16,'Female LFPR (ILO,WB)'!D16)</f>
        <v>34.75</v>
      </c>
      <c r="E17" s="9">
        <f>_xlfn.XLOOKUP(A17,'Male LFPR (ILO,WB)'!C16,'Male LFPR (ILO,WB)'!D16)</f>
        <v>82.75</v>
      </c>
      <c r="F17" s="9">
        <f>_xlfn.XLOOKUP(A17,'Labour Force Participation Rate'!C16,'Labour Force Participation Rate'!D16)</f>
        <v>59.45</v>
      </c>
      <c r="G17" s="9" cm="1">
        <f t="array" ref="G17:I17">_xlfn.XLOOKUP(A17,'Employment by Sector (ILO,WB)'!C15,'Employment by Sector (ILO,WB)'!D15:F15)</f>
        <v>56</v>
      </c>
      <c r="H17" s="9">
        <v>18.420000000000002</v>
      </c>
      <c r="I17" s="9">
        <v>25.58</v>
      </c>
      <c r="J17" s="11">
        <f>_xlfn.XLOOKUP(A17,'GDP Per Capita Growth'!C15,'GDP Per Capita Growth'!D15)</f>
        <v>6.1</v>
      </c>
      <c r="K17" s="18">
        <f t="shared" si="0"/>
        <v>2.7618421052631579</v>
      </c>
      <c r="L17" s="15">
        <f t="shared" si="1"/>
        <v>48</v>
      </c>
      <c r="M17" s="16">
        <f t="shared" si="2"/>
        <v>11.875921052631579</v>
      </c>
      <c r="N17" s="25">
        <f t="shared" si="3"/>
        <v>10.450614035087717</v>
      </c>
    </row>
    <row r="18" spans="1:14" x14ac:dyDescent="0.25">
      <c r="A18" s="5">
        <v>2005</v>
      </c>
      <c r="B18" s="9">
        <f>_xlfn.XLOOKUP(A18,'Youth Unemployment Rate (World '!C16,'Youth Unemployment Rate (World '!D16)</f>
        <v>21.12</v>
      </c>
      <c r="C18" s="9">
        <f>_xlfn.XLOOKUP(A18,'Overall (Adult) Unemployment Ra'!C16,'Overall (Adult) Unemployment Ra'!D16)</f>
        <v>7.55</v>
      </c>
      <c r="D18" s="9">
        <f>_xlfn.XLOOKUP(A18,'Female LFPR (ILO,WB)'!C17,'Female LFPR (ILO,WB)'!D17)</f>
        <v>34.85</v>
      </c>
      <c r="E18" s="9">
        <f>_xlfn.XLOOKUP(A18,'Male LFPR (ILO,WB)'!C17,'Male LFPR (ILO,WB)'!D17)</f>
        <v>82.36</v>
      </c>
      <c r="F18" s="9">
        <f>_xlfn.XLOOKUP(A18,'Labour Force Participation Rate'!C17,'Labour Force Participation Rate'!D17)</f>
        <v>59.29</v>
      </c>
      <c r="G18" s="9" cm="1">
        <f t="array" ref="G18:I18">_xlfn.XLOOKUP(A18,'Employment by Sector (ILO,WB)'!C16,'Employment by Sector (ILO,WB)'!D16:F16)</f>
        <v>55.02</v>
      </c>
      <c r="H18" s="9">
        <v>19</v>
      </c>
      <c r="I18" s="9">
        <v>25.98</v>
      </c>
      <c r="J18" s="11">
        <f>_xlfn.XLOOKUP(A18,'GDP Per Capita Growth'!C16,'GDP Per Capita Growth'!D16)</f>
        <v>6.18</v>
      </c>
      <c r="K18" s="18">
        <f t="shared" si="0"/>
        <v>2.7973509933774836</v>
      </c>
      <c r="L18" s="15">
        <f t="shared" si="1"/>
        <v>47.51</v>
      </c>
      <c r="M18" s="16">
        <f t="shared" si="2"/>
        <v>11.958675496688743</v>
      </c>
      <c r="N18" s="25">
        <f t="shared" si="3"/>
        <v>10.489116997792495</v>
      </c>
    </row>
    <row r="19" spans="1:14" x14ac:dyDescent="0.25">
      <c r="A19" s="5">
        <v>2006</v>
      </c>
      <c r="B19" s="9">
        <f>_xlfn.XLOOKUP(A19,'Youth Unemployment Rate (World '!C17,'Youth Unemployment Rate (World '!D17)</f>
        <v>21.47</v>
      </c>
      <c r="C19" s="9">
        <f>_xlfn.XLOOKUP(A19,'Overall (Adult) Unemployment Ra'!C17,'Overall (Adult) Unemployment Ra'!D17)</f>
        <v>7.55</v>
      </c>
      <c r="D19" s="9">
        <f>_xlfn.XLOOKUP(A19,'Female LFPR (ILO,WB)'!C18,'Female LFPR (ILO,WB)'!D18)</f>
        <v>33.5</v>
      </c>
      <c r="E19" s="9">
        <f>_xlfn.XLOOKUP(A19,'Male LFPR (ILO,WB)'!C18,'Male LFPR (ILO,WB)'!D18)</f>
        <v>81.81</v>
      </c>
      <c r="F19" s="9">
        <f>_xlfn.XLOOKUP(A19,'Labour Force Participation Rate'!C18,'Labour Force Participation Rate'!D18)</f>
        <v>58.35</v>
      </c>
      <c r="G19" s="9" cm="1">
        <f t="array" ref="G19:I19">_xlfn.XLOOKUP(A19,'Employment by Sector (ILO,WB)'!C17,'Employment by Sector (ILO,WB)'!D17:F17)</f>
        <v>54.27</v>
      </c>
      <c r="H19" s="9">
        <v>19.52</v>
      </c>
      <c r="I19" s="9">
        <v>26.2</v>
      </c>
      <c r="J19" s="11">
        <f>_xlfn.XLOOKUP(A19,'GDP Per Capita Growth'!C17,'GDP Per Capita Growth'!D17)</f>
        <v>6.38</v>
      </c>
      <c r="K19" s="18">
        <f t="shared" si="0"/>
        <v>2.8437086092715229</v>
      </c>
      <c r="L19" s="15">
        <f t="shared" si="1"/>
        <v>48.31</v>
      </c>
      <c r="M19" s="16">
        <f t="shared" si="2"/>
        <v>12.156854304635761</v>
      </c>
      <c r="N19" s="25">
        <f t="shared" si="3"/>
        <v>10.621236203090508</v>
      </c>
    </row>
    <row r="20" spans="1:14" x14ac:dyDescent="0.25">
      <c r="A20" s="5">
        <v>2007</v>
      </c>
      <c r="B20" s="9">
        <f>_xlfn.XLOOKUP(A20,'Youth Unemployment Rate (World '!C18,'Youth Unemployment Rate (World '!D18)</f>
        <v>21.86</v>
      </c>
      <c r="C20" s="9">
        <f>_xlfn.XLOOKUP(A20,'Overall (Adult) Unemployment Ra'!C18,'Overall (Adult) Unemployment Ra'!D18)</f>
        <v>7.56</v>
      </c>
      <c r="D20" s="9">
        <f>_xlfn.XLOOKUP(A20,'Female LFPR (ILO,WB)'!C19,'Female LFPR (ILO,WB)'!D19)</f>
        <v>32.18</v>
      </c>
      <c r="E20" s="9">
        <f>_xlfn.XLOOKUP(A20,'Male LFPR (ILO,WB)'!C19,'Male LFPR (ILO,WB)'!D19)</f>
        <v>81.27</v>
      </c>
      <c r="F20" s="9">
        <f>_xlfn.XLOOKUP(A20,'Labour Force Participation Rate'!C19,'Labour Force Participation Rate'!D19)</f>
        <v>57.42</v>
      </c>
      <c r="G20" s="9" cm="1">
        <f t="array" ref="G20:I20">_xlfn.XLOOKUP(A20,'Employment by Sector (ILO,WB)'!C18,'Employment by Sector (ILO,WB)'!D18:F18)</f>
        <v>53.37</v>
      </c>
      <c r="H20" s="9">
        <v>20.32</v>
      </c>
      <c r="I20" s="9">
        <v>26.31</v>
      </c>
      <c r="J20" s="11">
        <f>_xlfn.XLOOKUP(A20,'GDP Per Capita Growth'!C18,'GDP Per Capita Growth'!D18)</f>
        <v>6.05</v>
      </c>
      <c r="K20" s="18">
        <f t="shared" si="0"/>
        <v>2.8915343915343916</v>
      </c>
      <c r="L20" s="15">
        <f t="shared" si="1"/>
        <v>49.089999999999996</v>
      </c>
      <c r="M20" s="16">
        <f t="shared" si="2"/>
        <v>12.375767195767196</v>
      </c>
      <c r="N20" s="25">
        <f t="shared" si="3"/>
        <v>10.770511463844796</v>
      </c>
    </row>
    <row r="21" spans="1:14" x14ac:dyDescent="0.25">
      <c r="A21" s="5">
        <v>2008</v>
      </c>
      <c r="B21" s="9">
        <f>_xlfn.XLOOKUP(A21,'Youth Unemployment Rate (World '!C19,'Youth Unemployment Rate (World '!D19)</f>
        <v>22.42</v>
      </c>
      <c r="C21" s="9">
        <f>_xlfn.XLOOKUP(A21,'Overall (Adult) Unemployment Ra'!C19,'Overall (Adult) Unemployment Ra'!D19)</f>
        <v>7.63</v>
      </c>
      <c r="D21" s="9">
        <f>_xlfn.XLOOKUP(A21,'Female LFPR (ILO,WB)'!C20,'Female LFPR (ILO,WB)'!D20)</f>
        <v>30.89</v>
      </c>
      <c r="E21" s="9">
        <f>_xlfn.XLOOKUP(A21,'Male LFPR (ILO,WB)'!C20,'Male LFPR (ILO,WB)'!D20)</f>
        <v>80.72</v>
      </c>
      <c r="F21" s="9">
        <f>_xlfn.XLOOKUP(A21,'Labour Force Participation Rate'!C20,'Labour Force Participation Rate'!D20)</f>
        <v>56.51</v>
      </c>
      <c r="G21" s="9" cm="1">
        <f t="array" ref="G21:I21">_xlfn.XLOOKUP(A21,'Employment by Sector (ILO,WB)'!C19,'Employment by Sector (ILO,WB)'!D19:F19)</f>
        <v>52.88</v>
      </c>
      <c r="H21" s="9">
        <v>20.75</v>
      </c>
      <c r="I21" s="9">
        <v>26.37</v>
      </c>
      <c r="J21" s="11">
        <f>_xlfn.XLOOKUP(A21,'GDP Per Capita Growth'!C19,'GDP Per Capita Growth'!D19)</f>
        <v>1.61</v>
      </c>
      <c r="K21" s="18">
        <f t="shared" si="0"/>
        <v>2.9384010484927918</v>
      </c>
      <c r="L21" s="15">
        <f t="shared" si="1"/>
        <v>49.83</v>
      </c>
      <c r="M21" s="16">
        <f t="shared" si="2"/>
        <v>12.679200524246397</v>
      </c>
      <c r="N21" s="25">
        <f t="shared" si="3"/>
        <v>10.99613368283093</v>
      </c>
    </row>
    <row r="22" spans="1:14" x14ac:dyDescent="0.25">
      <c r="A22" s="5">
        <v>2009</v>
      </c>
      <c r="B22" s="9">
        <f>_xlfn.XLOOKUP(A22,'Youth Unemployment Rate (World '!C20,'Youth Unemployment Rate (World '!D20)</f>
        <v>22.86</v>
      </c>
      <c r="C22" s="9">
        <f>_xlfn.XLOOKUP(A22,'Overall (Adult) Unemployment Ra'!C20,'Overall (Adult) Unemployment Ra'!D20)</f>
        <v>7.64</v>
      </c>
      <c r="D22" s="9">
        <f>_xlfn.XLOOKUP(A22,'Female LFPR (ILO,WB)'!C21,'Female LFPR (ILO,WB)'!D21)</f>
        <v>29.64</v>
      </c>
      <c r="E22" s="9">
        <f>_xlfn.XLOOKUP(A22,'Male LFPR (ILO,WB)'!C21,'Male LFPR (ILO,WB)'!D21)</f>
        <v>80.19</v>
      </c>
      <c r="F22" s="9">
        <f>_xlfn.XLOOKUP(A22,'Labour Force Participation Rate'!C21,'Labour Force Participation Rate'!D21)</f>
        <v>55.63</v>
      </c>
      <c r="G22" s="9" cm="1">
        <f t="array" ref="G22:I22">_xlfn.XLOOKUP(A22,'Employment by Sector (ILO,WB)'!C20,'Employment by Sector (ILO,WB)'!D20:F20)</f>
        <v>51.94</v>
      </c>
      <c r="H22" s="9">
        <v>21.56</v>
      </c>
      <c r="I22" s="9">
        <v>26.49</v>
      </c>
      <c r="J22" s="11">
        <f>_xlfn.XLOOKUP(A22,'GDP Per Capita Growth'!C20,'GDP Per Capita Growth'!D20)</f>
        <v>6.31</v>
      </c>
      <c r="K22" s="18">
        <f t="shared" si="0"/>
        <v>2.9921465968586389</v>
      </c>
      <c r="L22" s="15">
        <f t="shared" si="1"/>
        <v>50.55</v>
      </c>
      <c r="M22" s="16">
        <f t="shared" si="2"/>
        <v>12.926073298429319</v>
      </c>
      <c r="N22" s="25">
        <f t="shared" si="3"/>
        <v>11.164048865619547</v>
      </c>
    </row>
    <row r="23" spans="1:14" x14ac:dyDescent="0.25">
      <c r="A23" s="5">
        <v>2010</v>
      </c>
      <c r="B23" s="9">
        <f>_xlfn.XLOOKUP(A23,'Youth Unemployment Rate (World '!C21,'Youth Unemployment Rate (World '!D21)</f>
        <v>23.3</v>
      </c>
      <c r="C23" s="9">
        <f>_xlfn.XLOOKUP(A23,'Overall (Adult) Unemployment Ra'!C21,'Overall (Adult) Unemployment Ra'!D21)</f>
        <v>7.63</v>
      </c>
      <c r="D23" s="9">
        <f>_xlfn.XLOOKUP(A23,'Female LFPR (ILO,WB)'!C22,'Female LFPR (ILO,WB)'!D22)</f>
        <v>28.43</v>
      </c>
      <c r="E23" s="9">
        <f>_xlfn.XLOOKUP(A23,'Male LFPR (ILO,WB)'!C22,'Male LFPR (ILO,WB)'!D22)</f>
        <v>79.67</v>
      </c>
      <c r="F23" s="9">
        <f>_xlfn.XLOOKUP(A23,'Labour Force Participation Rate'!C22,'Labour Force Participation Rate'!D22)</f>
        <v>54.77</v>
      </c>
      <c r="G23" s="9" cm="1">
        <f t="array" ref="G23:I23">_xlfn.XLOOKUP(A23,'Employment by Sector (ILO,WB)'!C21,'Employment by Sector (ILO,WB)'!D21:F21)</f>
        <v>51.06</v>
      </c>
      <c r="H23" s="9">
        <v>22.38</v>
      </c>
      <c r="I23" s="9">
        <v>26.57</v>
      </c>
      <c r="J23" s="11">
        <f>_xlfn.XLOOKUP(A23,'GDP Per Capita Growth'!C21,'GDP Per Capita Growth'!D21)</f>
        <v>6.93</v>
      </c>
      <c r="K23" s="18">
        <f t="shared" si="0"/>
        <v>3.053735255570118</v>
      </c>
      <c r="L23" s="15">
        <f t="shared" si="1"/>
        <v>51.24</v>
      </c>
      <c r="M23" s="16">
        <f t="shared" si="2"/>
        <v>13.176867627785059</v>
      </c>
      <c r="N23" s="25">
        <f t="shared" si="3"/>
        <v>11.327911751856705</v>
      </c>
    </row>
    <row r="24" spans="1:14" x14ac:dyDescent="0.25">
      <c r="A24" s="5">
        <v>2011</v>
      </c>
      <c r="B24" s="9">
        <f>_xlfn.XLOOKUP(A24,'Youth Unemployment Rate (World '!C22,'Youth Unemployment Rate (World '!D22)</f>
        <v>23.64</v>
      </c>
      <c r="C24" s="9">
        <f>_xlfn.XLOOKUP(A24,'Overall (Adult) Unemployment Ra'!C22,'Overall (Adult) Unemployment Ra'!D22)</f>
        <v>7.61</v>
      </c>
      <c r="D24" s="9">
        <f>_xlfn.XLOOKUP(A24,'Female LFPR (ILO,WB)'!C23,'Female LFPR (ILO,WB)'!D23)</f>
        <v>27.58</v>
      </c>
      <c r="E24" s="9">
        <f>_xlfn.XLOOKUP(A24,'Male LFPR (ILO,WB)'!C23,'Male LFPR (ILO,WB)'!D23)</f>
        <v>79.23</v>
      </c>
      <c r="F24" s="9">
        <f>_xlfn.XLOOKUP(A24,'Labour Force Participation Rate'!C23,'Labour Force Participation Rate'!D23)</f>
        <v>54.13</v>
      </c>
      <c r="G24" s="9" cm="1">
        <f t="array" ref="G24:I24">_xlfn.XLOOKUP(A24,'Employment by Sector (ILO,WB)'!C22,'Employment by Sector (ILO,WB)'!D22:F22)</f>
        <v>49.08</v>
      </c>
      <c r="H24" s="9">
        <v>23.55</v>
      </c>
      <c r="I24" s="9">
        <v>27.38</v>
      </c>
      <c r="J24" s="11">
        <f>_xlfn.XLOOKUP(A24,'GDP Per Capita Growth'!C22,'GDP Per Capita Growth'!D22)</f>
        <v>3.76</v>
      </c>
      <c r="K24" s="18">
        <f t="shared" si="0"/>
        <v>3.1064388961892249</v>
      </c>
      <c r="L24" s="15">
        <f t="shared" si="1"/>
        <v>51.650000000000006</v>
      </c>
      <c r="M24" s="16">
        <f t="shared" si="2"/>
        <v>13.373219448094613</v>
      </c>
      <c r="N24" s="25">
        <f t="shared" si="3"/>
        <v>11.452146298729742</v>
      </c>
    </row>
    <row r="25" spans="1:14" x14ac:dyDescent="0.25">
      <c r="A25" s="5">
        <v>2012</v>
      </c>
      <c r="B25" s="9">
        <f>_xlfn.XLOOKUP(A25,'Youth Unemployment Rate (World '!C23,'Youth Unemployment Rate (World '!D23)</f>
        <v>24.14</v>
      </c>
      <c r="C25" s="9">
        <f>_xlfn.XLOOKUP(A25,'Overall (Adult) Unemployment Ra'!C23,'Overall (Adult) Unemployment Ra'!D23)</f>
        <v>7.65</v>
      </c>
      <c r="D25" s="9">
        <f>_xlfn.XLOOKUP(A25,'Female LFPR (ILO,WB)'!C24,'Female LFPR (ILO,WB)'!D24)</f>
        <v>26.76</v>
      </c>
      <c r="E25" s="9">
        <f>_xlfn.XLOOKUP(A25,'Male LFPR (ILO,WB)'!C24,'Male LFPR (ILO,WB)'!D24)</f>
        <v>78.8</v>
      </c>
      <c r="F25" s="9">
        <f>_xlfn.XLOOKUP(A25,'Labour Force Participation Rate'!C24,'Labour Force Participation Rate'!D24)</f>
        <v>53.51</v>
      </c>
      <c r="G25" s="9" cm="1">
        <f t="array" ref="G25:I25">_xlfn.XLOOKUP(A25,'Employment by Sector (ILO,WB)'!C23,'Employment by Sector (ILO,WB)'!D23:F23)</f>
        <v>47.09</v>
      </c>
      <c r="H25" s="9">
        <v>24.69</v>
      </c>
      <c r="I25" s="9">
        <v>28.22</v>
      </c>
      <c r="J25" s="11">
        <f>_xlfn.XLOOKUP(A25,'GDP Per Capita Growth'!C23,'GDP Per Capita Growth'!D23)</f>
        <v>4.0199999999999996</v>
      </c>
      <c r="K25" s="18">
        <f t="shared" si="0"/>
        <v>3.1555555555555554</v>
      </c>
      <c r="L25" s="15">
        <f t="shared" si="1"/>
        <v>52.039999999999992</v>
      </c>
      <c r="M25" s="16">
        <f t="shared" si="2"/>
        <v>13.647777777777778</v>
      </c>
      <c r="N25" s="25">
        <f t="shared" si="3"/>
        <v>11.64851851851852</v>
      </c>
    </row>
    <row r="26" spans="1:14" x14ac:dyDescent="0.25">
      <c r="A26" s="5">
        <v>2013</v>
      </c>
      <c r="B26" s="9">
        <f>_xlfn.XLOOKUP(A26,'Youth Unemployment Rate (World '!C24,'Youth Unemployment Rate (World '!D24)</f>
        <v>24.47</v>
      </c>
      <c r="C26" s="9">
        <f>_xlfn.XLOOKUP(A26,'Overall (Adult) Unemployment Ra'!C24,'Overall (Adult) Unemployment Ra'!D24)</f>
        <v>7.68</v>
      </c>
      <c r="D26" s="9">
        <f>_xlfn.XLOOKUP(A26,'Female LFPR (ILO,WB)'!C25,'Female LFPR (ILO,WB)'!D25)</f>
        <v>26.67</v>
      </c>
      <c r="E26" s="9">
        <f>_xlfn.XLOOKUP(A26,'Male LFPR (ILO,WB)'!C25,'Male LFPR (ILO,WB)'!D25)</f>
        <v>78.61</v>
      </c>
      <c r="F26" s="9">
        <f>_xlfn.XLOOKUP(A26,'Labour Force Participation Rate'!C25,'Labour Force Participation Rate'!D25)</f>
        <v>53.36</v>
      </c>
      <c r="G26" s="9" cm="1">
        <f t="array" ref="G26:I26">_xlfn.XLOOKUP(A26,'Employment by Sector (ILO,WB)'!C24,'Employment by Sector (ILO,WB)'!D24:F24)</f>
        <v>46.24</v>
      </c>
      <c r="H26" s="9">
        <v>24.75</v>
      </c>
      <c r="I26" s="9">
        <v>29</v>
      </c>
      <c r="J26" s="11">
        <f>_xlfn.XLOOKUP(A26,'GDP Per Capita Growth'!C24,'GDP Per Capita Growth'!D24)</f>
        <v>4.9800000000000004</v>
      </c>
      <c r="K26" s="18">
        <f t="shared" si="0"/>
        <v>3.1861979166666665</v>
      </c>
      <c r="L26" s="15">
        <f t="shared" si="1"/>
        <v>51.94</v>
      </c>
      <c r="M26" s="16">
        <f t="shared" si="2"/>
        <v>13.828098958333333</v>
      </c>
      <c r="N26" s="25">
        <f t="shared" si="3"/>
        <v>11.778732638888888</v>
      </c>
    </row>
    <row r="27" spans="1:14" x14ac:dyDescent="0.25">
      <c r="A27" s="5">
        <v>2014</v>
      </c>
      <c r="B27" s="9">
        <f>_xlfn.XLOOKUP(A27,'Youth Unemployment Rate (World '!C25,'Youth Unemployment Rate (World '!D25)</f>
        <v>24.71</v>
      </c>
      <c r="C27" s="9">
        <f>_xlfn.XLOOKUP(A27,'Overall (Adult) Unemployment Ra'!C25,'Overall (Adult) Unemployment Ra'!D25)</f>
        <v>7.66</v>
      </c>
      <c r="D27" s="9">
        <f>_xlfn.XLOOKUP(A27,'Female LFPR (ILO,WB)'!C26,'Female LFPR (ILO,WB)'!D26)</f>
        <v>26.61</v>
      </c>
      <c r="E27" s="9">
        <f>_xlfn.XLOOKUP(A27,'Male LFPR (ILO,WB)'!C26,'Male LFPR (ILO,WB)'!D26)</f>
        <v>78.349999999999994</v>
      </c>
      <c r="F27" s="9">
        <f>_xlfn.XLOOKUP(A27,'Labour Force Participation Rate'!C26,'Labour Force Participation Rate'!D26)</f>
        <v>53.21</v>
      </c>
      <c r="G27" s="9" cm="1">
        <f t="array" ref="G27:I27">_xlfn.XLOOKUP(A27,'Employment by Sector (ILO,WB)'!C25,'Employment by Sector (ILO,WB)'!D25:F25)</f>
        <v>45.25</v>
      </c>
      <c r="H27" s="9">
        <v>24.9</v>
      </c>
      <c r="I27" s="9">
        <v>29.85</v>
      </c>
      <c r="J27" s="11">
        <f>_xlfn.XLOOKUP(A27,'GDP Per Capita Growth'!C25,'GDP Per Capita Growth'!D25)</f>
        <v>6.06</v>
      </c>
      <c r="K27" s="18">
        <f t="shared" si="0"/>
        <v>3.2258485639686683</v>
      </c>
      <c r="L27" s="15">
        <f t="shared" si="1"/>
        <v>51.739999999999995</v>
      </c>
      <c r="M27" s="16">
        <f t="shared" si="2"/>
        <v>13.967924281984335</v>
      </c>
      <c r="N27" s="25">
        <f t="shared" si="3"/>
        <v>11.865282854656224</v>
      </c>
    </row>
    <row r="28" spans="1:14" x14ac:dyDescent="0.25">
      <c r="A28" s="5">
        <v>2015</v>
      </c>
      <c r="B28" s="9">
        <f>_xlfn.XLOOKUP(A28,'Youth Unemployment Rate (World '!C26,'Youth Unemployment Rate (World '!D26)</f>
        <v>24.96</v>
      </c>
      <c r="C28" s="9">
        <f>_xlfn.XLOOKUP(A28,'Overall (Adult) Unemployment Ra'!C26,'Overall (Adult) Unemployment Ra'!D26)</f>
        <v>7.63</v>
      </c>
      <c r="D28" s="9">
        <f>_xlfn.XLOOKUP(A28,'Female LFPR (ILO,WB)'!C27,'Female LFPR (ILO,WB)'!D27)</f>
        <v>26.58</v>
      </c>
      <c r="E28" s="9">
        <f>_xlfn.XLOOKUP(A28,'Male LFPR (ILO,WB)'!C27,'Male LFPR (ILO,WB)'!D27)</f>
        <v>78.040000000000006</v>
      </c>
      <c r="F28" s="9">
        <f>_xlfn.XLOOKUP(A28,'Labour Force Participation Rate'!C27,'Labour Force Participation Rate'!D27)</f>
        <v>53.03</v>
      </c>
      <c r="G28" s="9" cm="1">
        <f t="array" ref="G28:I28">_xlfn.XLOOKUP(A28,'Employment by Sector (ILO,WB)'!C26,'Employment by Sector (ILO,WB)'!D26:F26)</f>
        <v>44.28</v>
      </c>
      <c r="H28" s="9">
        <v>24.95</v>
      </c>
      <c r="I28" s="9">
        <v>30.77</v>
      </c>
      <c r="J28" s="11">
        <f>_xlfn.XLOOKUP(A28,'GDP Per Capita Growth'!C26,'GDP Per Capita Growth'!D26)</f>
        <v>6.72</v>
      </c>
      <c r="K28" s="18">
        <f t="shared" si="0"/>
        <v>3.27129750982962</v>
      </c>
      <c r="L28" s="15">
        <f t="shared" si="1"/>
        <v>51.460000000000008</v>
      </c>
      <c r="M28" s="16">
        <f t="shared" si="2"/>
        <v>14.11564875491481</v>
      </c>
      <c r="N28" s="25">
        <f t="shared" si="3"/>
        <v>11.953765836609875</v>
      </c>
    </row>
    <row r="29" spans="1:14" x14ac:dyDescent="0.25">
      <c r="A29" s="5">
        <v>2016</v>
      </c>
      <c r="B29" s="9">
        <f>_xlfn.XLOOKUP(A29,'Youth Unemployment Rate (World '!C27,'Youth Unemployment Rate (World '!D27)</f>
        <v>25.23</v>
      </c>
      <c r="C29" s="9">
        <f>_xlfn.XLOOKUP(A29,'Overall (Adult) Unemployment Ra'!C27,'Overall (Adult) Unemployment Ra'!D27)</f>
        <v>7.61</v>
      </c>
      <c r="D29" s="9">
        <f>_xlfn.XLOOKUP(A29,'Female LFPR (ILO,WB)'!C28,'Female LFPR (ILO,WB)'!D28)</f>
        <v>26.58</v>
      </c>
      <c r="E29" s="9">
        <f>_xlfn.XLOOKUP(A29,'Male LFPR (ILO,WB)'!C28,'Male LFPR (ILO,WB)'!D28)</f>
        <v>77.69</v>
      </c>
      <c r="F29" s="9">
        <f>_xlfn.XLOOKUP(A29,'Labour Force Participation Rate'!C28,'Labour Force Participation Rate'!D28)</f>
        <v>52.85</v>
      </c>
      <c r="G29" s="9" cm="1">
        <f t="array" ref="G29:I29">_xlfn.XLOOKUP(A29,'Employment by Sector (ILO,WB)'!C27,'Employment by Sector (ILO,WB)'!D27:F27)</f>
        <v>43.2</v>
      </c>
      <c r="H29" s="9">
        <v>25.19</v>
      </c>
      <c r="I29" s="9">
        <v>31.61</v>
      </c>
      <c r="J29" s="11">
        <f>_xlfn.XLOOKUP(A29,'GDP Per Capita Growth'!C27,'GDP Per Capita Growth'!D27)</f>
        <v>6.97</v>
      </c>
      <c r="K29" s="18">
        <f t="shared" si="0"/>
        <v>3.3153745072273324</v>
      </c>
      <c r="L29" s="15">
        <f t="shared" si="1"/>
        <v>51.11</v>
      </c>
      <c r="M29" s="16">
        <f t="shared" si="2"/>
        <v>14.272687253613666</v>
      </c>
      <c r="N29" s="25">
        <f t="shared" si="3"/>
        <v>12.051791502409111</v>
      </c>
    </row>
    <row r="30" spans="1:14" x14ac:dyDescent="0.25">
      <c r="A30" s="5">
        <v>2017</v>
      </c>
      <c r="B30" s="9">
        <f>_xlfn.XLOOKUP(A30,'Youth Unemployment Rate (World '!C28,'Youth Unemployment Rate (World '!D28)</f>
        <v>25.59</v>
      </c>
      <c r="C30" s="9">
        <f>_xlfn.XLOOKUP(A30,'Overall (Adult) Unemployment Ra'!C28,'Overall (Adult) Unemployment Ra'!D28)</f>
        <v>7.63</v>
      </c>
      <c r="D30" s="9">
        <f>_xlfn.XLOOKUP(A30,'Female LFPR (ILO,WB)'!C29,'Female LFPR (ILO,WB)'!D29)</f>
        <v>26.58</v>
      </c>
      <c r="E30" s="9">
        <f>_xlfn.XLOOKUP(A30,'Male LFPR (ILO,WB)'!C29,'Male LFPR (ILO,WB)'!D29)</f>
        <v>77.34</v>
      </c>
      <c r="F30" s="9">
        <f>_xlfn.XLOOKUP(A30,'Labour Force Participation Rate'!C29,'Labour Force Participation Rate'!D29)</f>
        <v>52.67</v>
      </c>
      <c r="G30" s="9" cm="1">
        <f t="array" ref="G30:I30">_xlfn.XLOOKUP(A30,'Employment by Sector (ILO,WB)'!C28,'Employment by Sector (ILO,WB)'!D28:F28)</f>
        <v>42.27</v>
      </c>
      <c r="H30" s="9">
        <v>25.27</v>
      </c>
      <c r="I30" s="9">
        <v>32.47</v>
      </c>
      <c r="J30" s="11">
        <f>_xlfn.XLOOKUP(A30,'GDP Per Capita Growth'!C28,'GDP Per Capita Growth'!D28)</f>
        <v>5.56</v>
      </c>
      <c r="K30" s="18">
        <f t="shared" si="0"/>
        <v>3.3538663171690697</v>
      </c>
      <c r="L30" s="15">
        <f t="shared" si="1"/>
        <v>50.760000000000005</v>
      </c>
      <c r="M30" s="16">
        <f t="shared" si="2"/>
        <v>14.471933158584534</v>
      </c>
      <c r="N30" s="25">
        <f t="shared" si="3"/>
        <v>12.19128877238969</v>
      </c>
    </row>
    <row r="31" spans="1:14" x14ac:dyDescent="0.25">
      <c r="A31" s="5">
        <v>2018</v>
      </c>
      <c r="B31" s="9">
        <f>_xlfn.XLOOKUP(A31,'Youth Unemployment Rate (World '!C29,'Youth Unemployment Rate (World '!D29)</f>
        <v>26</v>
      </c>
      <c r="C31" s="9">
        <f>_xlfn.XLOOKUP(A31,'Overall (Adult) Unemployment Ra'!C29,'Overall (Adult) Unemployment Ra'!D29)</f>
        <v>7.65</v>
      </c>
      <c r="D31" s="9">
        <f>_xlfn.XLOOKUP(A31,'Female LFPR (ILO,WB)'!C30,'Female LFPR (ILO,WB)'!D30)</f>
        <v>26.57</v>
      </c>
      <c r="E31" s="9">
        <f>_xlfn.XLOOKUP(A31,'Male LFPR (ILO,WB)'!C30,'Male LFPR (ILO,WB)'!D30)</f>
        <v>76.97</v>
      </c>
      <c r="F31" s="9">
        <f>_xlfn.XLOOKUP(A31,'Labour Force Participation Rate'!C30,'Labour Force Participation Rate'!D30)</f>
        <v>52.48</v>
      </c>
      <c r="G31" s="9" cm="1">
        <f t="array" ref="G31:I31">_xlfn.XLOOKUP(A31,'Employment by Sector (ILO,WB)'!C29,'Employment by Sector (ILO,WB)'!D29:F29)</f>
        <v>41.3</v>
      </c>
      <c r="H31" s="9">
        <v>25.37</v>
      </c>
      <c r="I31" s="9">
        <v>33.340000000000003</v>
      </c>
      <c r="J31" s="11">
        <f>_xlfn.XLOOKUP(A31,'GDP Per Capita Growth'!C29,'GDP Per Capita Growth'!D29)</f>
        <v>5.29</v>
      </c>
      <c r="K31" s="18">
        <f t="shared" si="0"/>
        <v>3.3986928104575163</v>
      </c>
      <c r="L31" s="15">
        <f t="shared" si="1"/>
        <v>50.4</v>
      </c>
      <c r="M31" s="16">
        <f t="shared" si="2"/>
        <v>14.699346405228757</v>
      </c>
      <c r="N31" s="25">
        <f t="shared" si="3"/>
        <v>12.349564270152506</v>
      </c>
    </row>
    <row r="32" spans="1:14" x14ac:dyDescent="0.25">
      <c r="A32" s="5">
        <v>2019</v>
      </c>
      <c r="B32" s="9">
        <f>_xlfn.XLOOKUP(A32,'Youth Unemployment Rate (World '!C30,'Youth Unemployment Rate (World '!D30)</f>
        <v>22.95</v>
      </c>
      <c r="C32" s="9">
        <f>_xlfn.XLOOKUP(A32,'Overall (Adult) Unemployment Ra'!C30,'Overall (Adult) Unemployment Ra'!D30)</f>
        <v>6.51</v>
      </c>
      <c r="D32" s="9">
        <f>_xlfn.XLOOKUP(A32,'Female LFPR (ILO,WB)'!C31,'Female LFPR (ILO,WB)'!D31)</f>
        <v>26.54</v>
      </c>
      <c r="E32" s="9">
        <f>_xlfn.XLOOKUP(A32,'Male LFPR (ILO,WB)'!C31,'Male LFPR (ILO,WB)'!D31)</f>
        <v>76.61</v>
      </c>
      <c r="F32" s="9">
        <f>_xlfn.XLOOKUP(A32,'Labour Force Participation Rate'!C31,'Labour Force Participation Rate'!D31)</f>
        <v>52.28</v>
      </c>
      <c r="G32" s="9" cm="1">
        <f t="array" ref="G32:I32">_xlfn.XLOOKUP(A32,'Employment by Sector (ILO,WB)'!C30,'Employment by Sector (ILO,WB)'!D30:F30)</f>
        <v>40.65</v>
      </c>
      <c r="H32" s="9">
        <v>25.25</v>
      </c>
      <c r="I32" s="9">
        <v>34.1</v>
      </c>
      <c r="J32" s="11">
        <f>_xlfn.XLOOKUP(A32,'GDP Per Capita Growth'!C30,'GDP Per Capita Growth'!D30)</f>
        <v>2.8</v>
      </c>
      <c r="K32" s="18">
        <f t="shared" si="0"/>
        <v>3.5253456221198158</v>
      </c>
      <c r="L32" s="15">
        <f t="shared" si="1"/>
        <v>50.07</v>
      </c>
      <c r="M32" s="16">
        <f t="shared" si="2"/>
        <v>13.237672811059907</v>
      </c>
      <c r="N32" s="25">
        <f t="shared" si="3"/>
        <v>10.995115207373273</v>
      </c>
    </row>
    <row r="33" spans="1:14" x14ac:dyDescent="0.25">
      <c r="A33" s="5">
        <v>2020</v>
      </c>
      <c r="B33" s="9">
        <f>_xlfn.XLOOKUP(A33,'Youth Unemployment Rate (World '!C31,'Youth Unemployment Rate (World '!D31)</f>
        <v>24.67</v>
      </c>
      <c r="C33" s="9">
        <f>_xlfn.XLOOKUP(A33,'Overall (Adult) Unemployment Ra'!C31,'Overall (Adult) Unemployment Ra'!D31)</f>
        <v>7.86</v>
      </c>
      <c r="D33" s="9">
        <f>_xlfn.XLOOKUP(A33,'Female LFPR (ILO,WB)'!C32,'Female LFPR (ILO,WB)'!D32)</f>
        <v>26</v>
      </c>
      <c r="E33" s="9">
        <f>_xlfn.XLOOKUP(A33,'Male LFPR (ILO,WB)'!C32,'Male LFPR (ILO,WB)'!D32)</f>
        <v>75.69</v>
      </c>
      <c r="F33" s="9">
        <f>_xlfn.XLOOKUP(A33,'Labour Force Participation Rate'!C32,'Labour Force Participation Rate'!D32)</f>
        <v>51.55</v>
      </c>
      <c r="G33" s="9" cm="1">
        <f t="array" ref="G33:I33">_xlfn.XLOOKUP(A33,'Employment by Sector (ILO,WB)'!C31,'Employment by Sector (ILO,WB)'!D31:F31)</f>
        <v>44.68</v>
      </c>
      <c r="H33" s="9">
        <v>23.7</v>
      </c>
      <c r="I33" s="9">
        <v>31.62</v>
      </c>
      <c r="J33" s="11">
        <f>_xlfn.XLOOKUP(A33,'GDP Per Capita Growth'!C31,'GDP Per Capita Growth'!D31)</f>
        <v>-6.69</v>
      </c>
      <c r="K33" s="18">
        <f t="shared" si="0"/>
        <v>3.1386768447837152</v>
      </c>
      <c r="L33" s="15">
        <f t="shared" si="1"/>
        <v>49.69</v>
      </c>
      <c r="M33" s="16">
        <f t="shared" si="2"/>
        <v>13.904338422391859</v>
      </c>
      <c r="N33" s="25">
        <f t="shared" si="3"/>
        <v>11.889558948261239</v>
      </c>
    </row>
    <row r="34" spans="1:14" x14ac:dyDescent="0.25">
      <c r="A34" s="5">
        <v>2021</v>
      </c>
      <c r="B34" s="9">
        <f>_xlfn.XLOOKUP(A34,'Youth Unemployment Rate (World '!C32,'Youth Unemployment Rate (World '!D32)</f>
        <v>20.82</v>
      </c>
      <c r="C34" s="9">
        <f>_xlfn.XLOOKUP(A34,'Overall (Adult) Unemployment Ra'!C32,'Overall (Adult) Unemployment Ra'!D32)</f>
        <v>6.38</v>
      </c>
      <c r="D34" s="9">
        <f>_xlfn.XLOOKUP(A34,'Female LFPR (ILO,WB)'!C33,'Female LFPR (ILO,WB)'!D33)</f>
        <v>27.72</v>
      </c>
      <c r="E34" s="9">
        <f>_xlfn.XLOOKUP(A34,'Male LFPR (ILO,WB)'!C33,'Male LFPR (ILO,WB)'!D33)</f>
        <v>75.959999999999994</v>
      </c>
      <c r="F34" s="9">
        <f>_xlfn.XLOOKUP(A34,'Labour Force Participation Rate'!C33,'Labour Force Participation Rate'!D33)</f>
        <v>52.52</v>
      </c>
      <c r="G34" s="9" cm="1">
        <f t="array" ref="G34:I34">_xlfn.XLOOKUP(A34,'Employment by Sector (ILO,WB)'!C32,'Employment by Sector (ILO,WB)'!D32:F32)</f>
        <v>44.08</v>
      </c>
      <c r="H34" s="9">
        <v>24.47</v>
      </c>
      <c r="I34" s="9">
        <v>31.45</v>
      </c>
      <c r="J34" s="11">
        <f>_xlfn.XLOOKUP(A34,'GDP Per Capita Growth'!C32,'GDP Per Capita Growth'!D32)</f>
        <v>8.7899999999999991</v>
      </c>
      <c r="K34" s="18">
        <f t="shared" si="0"/>
        <v>3.2633228840125392</v>
      </c>
      <c r="L34" s="15">
        <f t="shared" si="1"/>
        <v>48.239999999999995</v>
      </c>
      <c r="M34" s="16">
        <f t="shared" si="2"/>
        <v>12.041661442006269</v>
      </c>
      <c r="N34" s="25">
        <f t="shared" si="3"/>
        <v>10.154440961337512</v>
      </c>
    </row>
    <row r="35" spans="1:14" x14ac:dyDescent="0.25">
      <c r="A35" s="5">
        <v>2022</v>
      </c>
      <c r="B35" s="9">
        <f>_xlfn.XLOOKUP(A35,'Youth Unemployment Rate (World '!C33,'Youth Unemployment Rate (World '!D33)</f>
        <v>17.73</v>
      </c>
      <c r="C35" s="9">
        <f>_xlfn.XLOOKUP(A35,'Overall (Adult) Unemployment Ra'!C33,'Overall (Adult) Unemployment Ra'!D33)</f>
        <v>4.82</v>
      </c>
      <c r="D35" s="9">
        <f>_xlfn.XLOOKUP(A35,'Female LFPR (ILO,WB)'!C34,'Female LFPR (ILO,WB)'!D34)</f>
        <v>29.35</v>
      </c>
      <c r="E35" s="9">
        <f>_xlfn.XLOOKUP(A35,'Male LFPR (ILO,WB)'!C34,'Male LFPR (ILO,WB)'!D34)</f>
        <v>76.5</v>
      </c>
      <c r="F35" s="9">
        <f>_xlfn.XLOOKUP(A35,'Labour Force Participation Rate'!C34,'Labour Force Participation Rate'!D34)</f>
        <v>53.59</v>
      </c>
      <c r="G35" s="9" cm="1">
        <f t="array" ref="G35:I35">_xlfn.XLOOKUP(A35,'Employment by Sector (ILO,WB)'!C33,'Employment by Sector (ILO,WB)'!D33:F33)</f>
        <v>42.86</v>
      </c>
      <c r="H35" s="9">
        <v>26.12</v>
      </c>
      <c r="I35" s="9">
        <v>31.02</v>
      </c>
      <c r="J35" s="11">
        <f>_xlfn.XLOOKUP(A35,'GDP Per Capita Growth'!C33,'GDP Per Capita Growth'!D33)</f>
        <v>6.76</v>
      </c>
      <c r="K35" s="18">
        <f t="shared" si="0"/>
        <v>3.6784232365145226</v>
      </c>
      <c r="L35" s="15">
        <f t="shared" si="1"/>
        <v>47.15</v>
      </c>
      <c r="M35" s="16">
        <f t="shared" si="2"/>
        <v>10.704211618257261</v>
      </c>
      <c r="N35" s="25">
        <f t="shared" si="3"/>
        <v>8.742807745504841</v>
      </c>
    </row>
    <row r="36" spans="1:14" x14ac:dyDescent="0.25">
      <c r="A36" s="5">
        <v>2023</v>
      </c>
      <c r="B36" s="9">
        <f>_xlfn.XLOOKUP(A36,'Youth Unemployment Rate (World '!C34,'Youth Unemployment Rate (World '!D34)</f>
        <v>15.6</v>
      </c>
      <c r="C36" s="9">
        <f>_xlfn.XLOOKUP(A36,'Overall (Adult) Unemployment Ra'!C34,'Overall (Adult) Unemployment Ra'!D34)</f>
        <v>4.17</v>
      </c>
      <c r="D36" s="9">
        <f>_xlfn.XLOOKUP(A36,'Female LFPR (ILO,WB)'!C35,'Female LFPR (ILO,WB)'!D35)</f>
        <v>30.98</v>
      </c>
      <c r="E36" s="9">
        <f>_xlfn.XLOOKUP(A36,'Male LFPR (ILO,WB)'!C35,'Male LFPR (ILO,WB)'!D35)</f>
        <v>77.12</v>
      </c>
      <c r="F36" s="9">
        <f>_xlfn.XLOOKUP(A36,'Labour Force Participation Rate'!C35,'Labour Force Participation Rate'!D35)</f>
        <v>54.7</v>
      </c>
      <c r="G36" s="9" cm="1">
        <f t="array" ref="G36:I36">_xlfn.XLOOKUP(A36,'Employment by Sector (ILO,WB)'!C34,'Employment by Sector (ILO,WB)'!D34:F34)</f>
        <v>43.51</v>
      </c>
      <c r="H36" s="9">
        <v>25.03</v>
      </c>
      <c r="I36" s="9">
        <v>31.46</v>
      </c>
      <c r="J36" s="11">
        <f>_xlfn.XLOOKUP(A36,'GDP Per Capita Growth'!C34,'GDP Per Capita Growth'!D34)</f>
        <v>8.23</v>
      </c>
      <c r="K36" s="18">
        <f t="shared" si="0"/>
        <v>3.7410071942446042</v>
      </c>
      <c r="L36" s="15">
        <f t="shared" si="1"/>
        <v>46.14</v>
      </c>
      <c r="M36" s="16">
        <f t="shared" si="2"/>
        <v>9.6705035971223019</v>
      </c>
      <c r="N36" s="25">
        <f t="shared" si="3"/>
        <v>7.8370023980815349</v>
      </c>
    </row>
    <row r="37" spans="1:14" x14ac:dyDescent="0.25">
      <c r="A37" s="5">
        <v>2024</v>
      </c>
      <c r="B37" s="9">
        <f>_xlfn.XLOOKUP(A37,'Youth Unemployment Rate (World '!C35,'Youth Unemployment Rate (World '!D35)</f>
        <v>15.75</v>
      </c>
      <c r="C37" s="9">
        <f>_xlfn.XLOOKUP(A37,'Overall (Adult) Unemployment Ra'!C35,'Overall (Adult) Unemployment Ra'!D35)</f>
        <v>4.17</v>
      </c>
      <c r="D37" s="9">
        <f>_xlfn.XLOOKUP(A37,'Female LFPR (ILO,WB)'!C36,'Female LFPR (ILO,WB)'!D36)</f>
        <v>32.42</v>
      </c>
      <c r="E37" s="9">
        <f>_xlfn.XLOOKUP(A37,'Male LFPR (ILO,WB)'!C36,'Male LFPR (ILO,WB)'!D36)</f>
        <v>77.59</v>
      </c>
      <c r="F37" s="9">
        <f>_xlfn.XLOOKUP(A37,'Labour Force Participation Rate'!C36,'Labour Force Participation Rate'!D36)</f>
        <v>55.64</v>
      </c>
      <c r="G37" s="9" cm="1">
        <f t="array" ref="G37:I37">_xlfn.XLOOKUP(A37,'Employment by Sector (ILO,WB)'!C35,'Employment by Sector (ILO,WB)'!D35:F35)</f>
        <v>42.35</v>
      </c>
      <c r="H37" s="9">
        <v>25.37</v>
      </c>
      <c r="I37" s="9">
        <v>32.270000000000003</v>
      </c>
      <c r="J37" s="11">
        <f>_xlfn.XLOOKUP(A37,'GDP Per Capita Growth'!C35,'GDP Per Capita Growth'!D35)</f>
        <v>5.55</v>
      </c>
      <c r="K37" s="18">
        <f t="shared" si="0"/>
        <v>3.7769784172661871</v>
      </c>
      <c r="L37" s="15">
        <f t="shared" si="1"/>
        <v>45.17</v>
      </c>
      <c r="M37" s="16">
        <f t="shared" si="2"/>
        <v>9.7634892086330929</v>
      </c>
      <c r="N37" s="25">
        <f t="shared" si="3"/>
        <v>7.8989928057553955</v>
      </c>
    </row>
    <row r="38" spans="1:14" ht="15.75" thickBot="1" x14ac:dyDescent="0.3">
      <c r="A38" s="6">
        <v>2025</v>
      </c>
      <c r="B38" s="10">
        <f>_xlfn.XLOOKUP(A38,'Youth Unemployment Rate (World '!C36,'Youth Unemployment Rate (World '!D36)</f>
        <v>16.02</v>
      </c>
      <c r="C38" s="10">
        <f>_xlfn.XLOOKUP(A38,'Overall (Adult) Unemployment Ra'!C36,'Overall (Adult) Unemployment Ra'!D36)</f>
        <v>4.22</v>
      </c>
      <c r="D38" s="10">
        <f>_xlfn.XLOOKUP(A38,'Female LFPR (ILO,WB)'!C37,'Female LFPR (ILO,WB)'!D37)</f>
        <v>32.43</v>
      </c>
      <c r="E38" s="10">
        <f>_xlfn.XLOOKUP(A38,'Male LFPR (ILO,WB)'!C37,'Male LFPR (ILO,WB)'!D37)</f>
        <v>77.62</v>
      </c>
      <c r="F38" s="10">
        <f>_xlfn.XLOOKUP(A38,'Labour Force Participation Rate'!C37,'Labour Force Participation Rate'!D37)</f>
        <v>55.66</v>
      </c>
      <c r="G38" s="10" cm="1">
        <f t="array" ref="G38:I38">_xlfn.XLOOKUP(A38,'Employment by Sector (ILO,WB)'!C36,'Employment by Sector (ILO,WB)'!D36:F36)</f>
        <v>41.63</v>
      </c>
      <c r="H38" s="10">
        <v>25.82</v>
      </c>
      <c r="I38" s="10">
        <v>32.56</v>
      </c>
      <c r="J38" s="12" t="str">
        <f>_xlfn.XLOOKUP(A38,'GDP Per Capita Growth'!C36, " ")</f>
        <v xml:space="preserve"> </v>
      </c>
      <c r="K38" s="19">
        <f t="shared" si="0"/>
        <v>3.7962085308056874</v>
      </c>
      <c r="L38" s="22">
        <f t="shared" si="1"/>
        <v>45.190000000000005</v>
      </c>
      <c r="M38" s="23">
        <f t="shared" si="2"/>
        <v>9.9081042654028444</v>
      </c>
      <c r="N38" s="26">
        <f t="shared" si="3"/>
        <v>8.012069510268562</v>
      </c>
    </row>
    <row r="39" spans="1:14" x14ac:dyDescent="0.25">
      <c r="G39" s="2"/>
      <c r="H39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E6582-CFED-45F7-8B57-E8F5805B61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Youth Unemployment Rate (World </vt:lpstr>
      <vt:lpstr>Overall (Adult) Unemployment Ra</vt:lpstr>
      <vt:lpstr>Labour Force Participation Rate</vt:lpstr>
      <vt:lpstr>Male LFPR (ILO,WB)</vt:lpstr>
      <vt:lpstr>Female LFPR (ILO,WB)</vt:lpstr>
      <vt:lpstr>Employment by Sector (ILO,WB)</vt:lpstr>
      <vt:lpstr>GDP Per Capita Growth</vt:lpstr>
      <vt:lpstr>Master Labour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 Lakshmi Rajkumari</dc:creator>
  <cp:lastModifiedBy>Biswa Lakshmi Rajkumari</cp:lastModifiedBy>
  <dcterms:created xsi:type="dcterms:W3CDTF">2026-04-30T10:09:49Z</dcterms:created>
  <dcterms:modified xsi:type="dcterms:W3CDTF">2026-05-04T19:18:28Z</dcterms:modified>
</cp:coreProperties>
</file>